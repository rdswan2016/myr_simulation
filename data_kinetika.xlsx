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STD" sheetId="2" r:id="rId6"/>
    <sheet state="visible" name="11" sheetId="3" r:id="rId7"/>
    <sheet state="visible" name="11 rerun" sheetId="4" r:id="rId8"/>
    <sheet state="visible" name="11.5" sheetId="5" r:id="rId9"/>
    <sheet state="visible" name="12" sheetId="6" r:id="rId10"/>
  </sheets>
  <definedNames>
    <definedName hidden="1" localSheetId="0" name="_xlnm._FilterDatabase">data!$A$1:$I$371</definedName>
    <definedName hidden="1" localSheetId="4" name="_xlnm._FilterDatabase">'11.5'!$A$1:$I$201</definedName>
  </definedNames>
  <calcPr/>
</workbook>
</file>

<file path=xl/sharedStrings.xml><?xml version="1.0" encoding="utf-8"?>
<sst xmlns="http://schemas.openxmlformats.org/spreadsheetml/2006/main" count="2717" uniqueCount="84">
  <si>
    <t>Perbandingan</t>
  </si>
  <si>
    <t>Waktu Sampling</t>
  </si>
  <si>
    <t>Peak Name</t>
  </si>
  <si>
    <t>Zone</t>
  </si>
  <si>
    <t>Peak Identification</t>
  </si>
  <si>
    <t>RT</t>
  </si>
  <si>
    <t>Area</t>
  </si>
  <si>
    <t>% Area</t>
  </si>
  <si>
    <t>Conc</t>
  </si>
  <si>
    <t>t0</t>
  </si>
  <si>
    <t>desB30 II</t>
  </si>
  <si>
    <t>desb30</t>
  </si>
  <si>
    <t>t2</t>
  </si>
  <si>
    <t>Peptide Impurity I</t>
  </si>
  <si>
    <t>A1</t>
  </si>
  <si>
    <t>Detemir</t>
  </si>
  <si>
    <t>detemir</t>
  </si>
  <si>
    <t>Peptide Impurity II</t>
  </si>
  <si>
    <t>A1_B29</t>
  </si>
  <si>
    <t>B1_B29</t>
  </si>
  <si>
    <t>A1_B29_B1</t>
  </si>
  <si>
    <t>t4</t>
  </si>
  <si>
    <t>A1_B1</t>
  </si>
  <si>
    <t>t6</t>
  </si>
  <si>
    <t>t8</t>
  </si>
  <si>
    <t>t10</t>
  </si>
  <si>
    <t>t13</t>
  </si>
  <si>
    <t>t16</t>
  </si>
  <si>
    <t>t19</t>
  </si>
  <si>
    <t>t22</t>
  </si>
  <si>
    <t>t25</t>
  </si>
  <si>
    <t>t30</t>
  </si>
  <si>
    <t>t35</t>
  </si>
  <si>
    <t>B1</t>
  </si>
  <si>
    <t>t40</t>
  </si>
  <si>
    <t>t50</t>
  </si>
  <si>
    <t>t70</t>
  </si>
  <si>
    <t>t80</t>
  </si>
  <si>
    <t>t120</t>
  </si>
  <si>
    <t>t45</t>
  </si>
  <si>
    <t>t60</t>
  </si>
  <si>
    <t>t100</t>
  </si>
  <si>
    <t>1:1</t>
  </si>
  <si>
    <t>Sample Name</t>
  </si>
  <si>
    <t>Result ID</t>
  </si>
  <si>
    <t>Level</t>
  </si>
  <si>
    <t>X Value</t>
  </si>
  <si>
    <t>Units</t>
  </si>
  <si>
    <t>Response</t>
  </si>
  <si>
    <t>Calc. Value</t>
  </si>
  <si>
    <t>% Deviation</t>
  </si>
  <si>
    <t>Std 1 Lev 0.5mg/ml</t>
  </si>
  <si>
    <t>Std 2 Lev 1.0mg/ml</t>
  </si>
  <si>
    <t>Std 3 Lev 2.0mg/ml</t>
  </si>
  <si>
    <t>Std 4 Lev 3.0mg/ml</t>
  </si>
  <si>
    <t>Std 5 Lev 4.0mg/ml</t>
  </si>
  <si>
    <t>Std 6 Lev 5.0mg/ml</t>
  </si>
  <si>
    <t>Equation:</t>
  </si>
  <si>
    <t>1:1.5</t>
  </si>
  <si>
    <t>Inj</t>
  </si>
  <si>
    <t>Standard 1 0.5mg/ml</t>
  </si>
  <si>
    <t>Standard 2 1.0mg/ml</t>
  </si>
  <si>
    <t>Standard 3 2.0mg/ml</t>
  </si>
  <si>
    <t>Standard 4 4.0mg/ml</t>
  </si>
  <si>
    <t>Standard 5 6.0mg/ml</t>
  </si>
  <si>
    <t>Standard 6 8.0mg/ml</t>
  </si>
  <si>
    <t>1:2</t>
  </si>
  <si>
    <t>Standard 4 3.0mg/ml</t>
  </si>
  <si>
    <t>Standard 5 4.0mg/ml</t>
  </si>
  <si>
    <t>Standard 6 6.0mg/ml</t>
  </si>
  <si>
    <t>Kode Sampel</t>
  </si>
  <si>
    <t>#</t>
  </si>
  <si>
    <t>Total Area</t>
  </si>
  <si>
    <t>Height</t>
  </si>
  <si>
    <t>Width (sec)</t>
  </si>
  <si>
    <t>USP Resolution</t>
  </si>
  <si>
    <t>USP Tailing</t>
  </si>
  <si>
    <t>USP Plate Count</t>
  </si>
  <si>
    <t>eCord Serial Number</t>
  </si>
  <si>
    <t>eCord Injection Count</t>
  </si>
  <si>
    <t>desB30 I</t>
  </si>
  <si>
    <t>-</t>
  </si>
  <si>
    <t>desB30 III</t>
  </si>
  <si>
    <t>desB30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</si>
</sst>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"/>
    <numFmt numFmtId="165" formatCode="0.00000"/>
  </numFmts>
  <fonts count="6">
    <font>
      <sz val="10.0"/>
      <color rgb="FF000000"/>
      <name val="Arial"/>
      <scheme val="minor"/>
    </font>
    <font>
      <color theme="1"/>
      <name val="Roboto"/>
    </font>
    <font>
      <b/>
      <color theme="1"/>
      <name val="Roboto"/>
    </font>
    <font>
      <b/>
      <color rgb="FF1F1F1F"/>
      <name val="Roboto"/>
    </font>
    <font>
      <color rgb="FF1F1F1F"/>
      <name val="Robo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3" xfId="0" applyAlignment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4" xfId="0" applyAlignment="1" applyFont="1" applyNumberForma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1" numFmtId="3" xfId="0" applyAlignment="1" applyFont="1" applyNumberFormat="1">
      <alignment readingOrder="0" vertical="center"/>
    </xf>
    <xf borderId="0" fillId="0" fontId="1" numFmtId="164" xfId="0" applyAlignment="1" applyFont="1" applyNumberFormat="1">
      <alignment readingOrder="0" vertical="center"/>
    </xf>
    <xf borderId="0" fillId="0" fontId="1" numFmtId="4" xfId="0" applyAlignment="1" applyFont="1" applyNumberFormat="1">
      <alignment readingOrder="0" vertical="center"/>
    </xf>
    <xf borderId="0" fillId="0" fontId="1" numFmtId="165" xfId="0" applyAlignment="1" applyFont="1" applyNumberFormat="1">
      <alignment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2" numFmtId="4" xfId="0" applyAlignment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4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1" numFmtId="4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4" xfId="0" applyAlignment="1" applyFont="1" applyNumberForma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3" xfId="0" applyAlignment="1" applyBorder="1" applyFont="1" applyNumberForma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3" numFmtId="4" xfId="0" applyAlignment="1" applyBorder="1" applyFont="1" applyNumberFormat="1">
      <alignment horizontal="center" readingOrder="0" shrinkToFit="0" vertical="center" wrapText="1"/>
    </xf>
    <xf borderId="1" fillId="0" fontId="2" numFmtId="165" xfId="0" applyAlignment="1" applyBorder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left" readingOrder="0" vertical="center"/>
    </xf>
    <xf borderId="1" fillId="0" fontId="4" numFmtId="3" xfId="0" applyAlignment="1" applyBorder="1" applyFont="1" applyNumberFormat="1">
      <alignment horizontal="center" readingOrder="0" vertical="center"/>
    </xf>
    <xf borderId="1" fillId="0" fontId="4" numFmtId="164" xfId="0" applyAlignment="1" applyBorder="1" applyFont="1" applyNumberFormat="1">
      <alignment horizontal="right" readingOrder="0" vertical="center"/>
    </xf>
    <xf borderId="1" fillId="0" fontId="4" numFmtId="3" xfId="0" applyAlignment="1" applyBorder="1" applyFont="1" applyNumberFormat="1">
      <alignment horizontal="right" readingOrder="0" vertical="center"/>
    </xf>
    <xf borderId="1" fillId="0" fontId="4" numFmtId="4" xfId="0" applyAlignment="1" applyBorder="1" applyFont="1" applyNumberFormat="1">
      <alignment horizontal="right" readingOrder="0" vertical="center"/>
    </xf>
    <xf borderId="1" fillId="0" fontId="1" numFmtId="165" xfId="0" applyAlignment="1" applyBorder="1" applyFont="1" applyNumberFormat="1">
      <alignment horizontal="right" vertical="center"/>
    </xf>
    <xf borderId="1" fillId="0" fontId="1" numFmtId="0" xfId="0" applyAlignment="1" applyBorder="1" applyFont="1">
      <alignment horizontal="left" readingOrder="0" vertical="center"/>
    </xf>
    <xf borderId="1" fillId="0" fontId="1" numFmtId="3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right" readingOrder="0" vertical="center"/>
    </xf>
    <xf borderId="1" fillId="0" fontId="1" numFmtId="3" xfId="0" applyAlignment="1" applyBorder="1" applyFont="1" applyNumberFormat="1">
      <alignment horizontal="right" readingOrder="0" vertical="center"/>
    </xf>
    <xf borderId="1" fillId="0" fontId="1" numFmtId="0" xfId="0" applyAlignment="1" applyBorder="1" applyFont="1">
      <alignment horizontal="left" vertical="center"/>
    </xf>
    <xf borderId="1" fillId="0" fontId="1" numFmtId="164" xfId="0" applyAlignment="1" applyBorder="1" applyFont="1" applyNumberFormat="1">
      <alignment horizontal="right" readingOrder="0" vertical="center"/>
    </xf>
    <xf borderId="1" fillId="0" fontId="1" numFmtId="4" xfId="0" applyAlignment="1" applyBorder="1" applyFont="1" applyNumberFormat="1">
      <alignment horizontal="right" readingOrder="0" vertical="center"/>
    </xf>
    <xf borderId="1" fillId="0" fontId="1" numFmtId="3" xfId="0" applyAlignment="1" applyBorder="1" applyFont="1" applyNumberFormat="1">
      <alignment readingOrder="0" vertical="center"/>
    </xf>
    <xf borderId="1" fillId="0" fontId="1" numFmtId="0" xfId="0" applyAlignment="1" applyBorder="1" applyFont="1">
      <alignment readingOrder="0" vertical="center"/>
    </xf>
    <xf borderId="1" fillId="0" fontId="4" numFmtId="0" xfId="0" applyAlignment="1" applyBorder="1" applyFont="1">
      <alignment horizontal="right" readingOrder="0" vertical="center"/>
    </xf>
    <xf borderId="1" fillId="0" fontId="1" numFmtId="4" xfId="0" applyAlignment="1" applyBorder="1" applyFont="1" applyNumberFormat="1">
      <alignment horizontal="right" vertical="center"/>
    </xf>
    <xf borderId="1" fillId="0" fontId="1" numFmtId="0" xfId="0" applyAlignment="1" applyBorder="1" applyFont="1">
      <alignment horizontal="right" vertical="center"/>
    </xf>
    <xf borderId="1" fillId="0" fontId="1" numFmtId="164" xfId="0" applyAlignment="1" applyBorder="1" applyFont="1" applyNumberFormat="1">
      <alignment horizontal="right" vertical="center"/>
    </xf>
    <xf borderId="1" fillId="0" fontId="1" numFmtId="3" xfId="0" applyAlignment="1" applyBorder="1" applyFont="1" applyNumberFormat="1">
      <alignment horizontal="right" vertical="center"/>
    </xf>
    <xf borderId="1" fillId="0" fontId="5" numFmtId="0" xfId="0" applyBorder="1" applyFont="1"/>
    <xf borderId="0" fillId="0" fontId="5" numFmtId="0" xfId="0" applyFont="1"/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right" vertical="center"/>
    </xf>
    <xf borderId="0" fillId="0" fontId="1" numFmtId="3" xfId="0" applyAlignment="1" applyFont="1" applyNumberFormat="1">
      <alignment vertical="center"/>
    </xf>
    <xf borderId="1" fillId="2" fontId="4" numFmtId="0" xfId="0" applyAlignment="1" applyBorder="1" applyFill="1" applyFont="1">
      <alignment vertical="center"/>
    </xf>
    <xf borderId="1" fillId="2" fontId="1" numFmtId="164" xfId="0" applyAlignment="1" applyBorder="1" applyFont="1" applyNumberFormat="1">
      <alignment readingOrder="0" vertical="center"/>
    </xf>
    <xf borderId="1" fillId="2" fontId="1" numFmtId="4" xfId="0" applyAlignment="1" applyBorder="1" applyFont="1" applyNumberFormat="1">
      <alignment readingOrder="0" vertical="center"/>
    </xf>
    <xf borderId="1" fillId="2" fontId="4" numFmtId="0" xfId="0" applyAlignment="1" applyBorder="1" applyFont="1">
      <alignment horizontal="center" readingOrder="0" vertical="center"/>
    </xf>
    <xf borderId="1" fillId="2" fontId="1" numFmtId="164" xfId="0" applyAlignment="1" applyBorder="1" applyFont="1" applyNumberFormat="1">
      <alignment vertical="center"/>
    </xf>
    <xf borderId="1" fillId="2" fontId="1" numFmtId="0" xfId="0" applyAlignment="1" applyBorder="1" applyFont="1">
      <alignment horizontal="right" readingOrder="0" vertical="center"/>
    </xf>
    <xf borderId="1" fillId="2" fontId="1" numFmtId="3" xfId="0" applyAlignment="1" applyBorder="1" applyFont="1" applyNumberFormat="1">
      <alignment readingOrder="0" vertical="center"/>
    </xf>
    <xf borderId="1" fillId="0" fontId="1" numFmtId="3" xfId="0" applyAlignment="1" applyBorder="1" applyFont="1" applyNumberFormat="1">
      <alignment vertical="center"/>
    </xf>
    <xf borderId="1" fillId="0" fontId="1" numFmtId="4" xfId="0" applyAlignment="1" applyBorder="1" applyFont="1" applyNumberFormat="1">
      <alignment vertical="center"/>
    </xf>
    <xf borderId="1" fillId="0" fontId="1" numFmtId="4" xfId="0" applyAlignment="1" applyBorder="1" applyFont="1" applyNumberFormat="1">
      <alignment readingOrder="0" vertical="center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1" fillId="2" fontId="4" numFmtId="0" xfId="0" applyBorder="1" applyFont="1"/>
    <xf borderId="1" fillId="2" fontId="1" numFmtId="164" xfId="0" applyBorder="1" applyFont="1" applyNumberFormat="1"/>
    <xf borderId="1" fillId="2" fontId="1" numFmtId="4" xfId="0" applyAlignment="1" applyBorder="1" applyFont="1" applyNumberFormat="1">
      <alignment readingOrder="0"/>
    </xf>
    <xf borderId="1" fillId="0" fontId="1" numFmtId="3" xfId="0" applyAlignment="1" applyBorder="1" applyFont="1" applyNumberFormat="1">
      <alignment readingOrder="0"/>
    </xf>
    <xf borderId="1" fillId="0" fontId="1" numFmtId="3" xfId="0" applyBorder="1" applyFont="1" applyNumberFormat="1"/>
    <xf borderId="1" fillId="0" fontId="1" numFmtId="4" xfId="0" applyBorder="1" applyFont="1" applyNumberFormat="1"/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2"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3" width="11.5"/>
    <col customWidth="1" min="4" max="4" width="7.25"/>
    <col customWidth="1" min="5" max="5" width="17.63"/>
    <col customWidth="1" min="6" max="6" width="5.5"/>
    <col customWidth="1" min="7" max="7" width="8.25"/>
    <col customWidth="1" min="8" max="8" width="8.63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2" t="s">
        <v>6</v>
      </c>
      <c r="H1" s="4" t="s">
        <v>7</v>
      </c>
      <c r="I1" s="5" t="s">
        <v>8</v>
      </c>
    </row>
    <row r="2">
      <c r="A2" s="6">
        <v>1.0</v>
      </c>
      <c r="B2" s="6" t="s">
        <v>9</v>
      </c>
      <c r="C2" s="6" t="s">
        <v>10</v>
      </c>
      <c r="D2" s="7">
        <v>0.0</v>
      </c>
      <c r="E2" s="6" t="s">
        <v>11</v>
      </c>
      <c r="F2" s="8">
        <v>4.755</v>
      </c>
      <c r="G2" s="7">
        <v>3178704.0</v>
      </c>
      <c r="H2" s="9">
        <v>99.63</v>
      </c>
      <c r="I2" s="10">
        <v>1.4487427272727273</v>
      </c>
    </row>
    <row r="3">
      <c r="A3" s="6">
        <v>1.0</v>
      </c>
      <c r="B3" s="6" t="s">
        <v>12</v>
      </c>
      <c r="C3" s="6" t="s">
        <v>10</v>
      </c>
      <c r="D3" s="7">
        <v>0.0</v>
      </c>
      <c r="E3" s="6" t="s">
        <v>11</v>
      </c>
      <c r="F3" s="6">
        <v>4.771</v>
      </c>
      <c r="G3" s="7">
        <v>992159.0</v>
      </c>
      <c r="H3" s="6">
        <v>32.94</v>
      </c>
      <c r="I3" s="10">
        <v>0.4548586363636364</v>
      </c>
    </row>
    <row r="4">
      <c r="A4" s="6">
        <v>1.0</v>
      </c>
      <c r="B4" s="6" t="s">
        <v>12</v>
      </c>
      <c r="C4" s="6" t="s">
        <v>13</v>
      </c>
      <c r="D4" s="7">
        <v>1.0</v>
      </c>
      <c r="E4" s="6" t="s">
        <v>14</v>
      </c>
      <c r="F4" s="6">
        <v>5.807</v>
      </c>
      <c r="G4" s="7">
        <v>63584.0</v>
      </c>
      <c r="H4" s="6">
        <v>2.11</v>
      </c>
      <c r="I4" s="10">
        <v>0.03277909090909091</v>
      </c>
    </row>
    <row r="5">
      <c r="A5" s="6">
        <v>1.0</v>
      </c>
      <c r="B5" s="6" t="s">
        <v>12</v>
      </c>
      <c r="C5" s="6" t="s">
        <v>15</v>
      </c>
      <c r="D5" s="7">
        <v>1.0</v>
      </c>
      <c r="E5" s="6" t="s">
        <v>16</v>
      </c>
      <c r="F5" s="6">
        <v>5.938</v>
      </c>
      <c r="G5" s="7">
        <v>1751603.0</v>
      </c>
      <c r="H5" s="6">
        <v>58.15</v>
      </c>
      <c r="I5" s="10">
        <v>0.8000604545454545</v>
      </c>
    </row>
    <row r="6">
      <c r="A6" s="6">
        <v>1.0</v>
      </c>
      <c r="B6" s="6" t="s">
        <v>12</v>
      </c>
      <c r="C6" s="6" t="s">
        <v>17</v>
      </c>
      <c r="D6" s="7">
        <v>2.0</v>
      </c>
      <c r="E6" s="6" t="s">
        <v>18</v>
      </c>
      <c r="F6" s="6">
        <v>6.481</v>
      </c>
      <c r="G6" s="7">
        <v>171663.0</v>
      </c>
      <c r="H6" s="6">
        <v>5.7</v>
      </c>
      <c r="I6" s="10">
        <v>0.08190590909090908</v>
      </c>
    </row>
    <row r="7">
      <c r="A7" s="6">
        <v>1.0</v>
      </c>
      <c r="B7" s="6" t="s">
        <v>12</v>
      </c>
      <c r="C7" s="6"/>
      <c r="D7" s="7">
        <v>2.0</v>
      </c>
      <c r="E7" s="6" t="s">
        <v>19</v>
      </c>
      <c r="F7" s="6">
        <v>6.622</v>
      </c>
      <c r="G7" s="7">
        <v>14712.0</v>
      </c>
      <c r="H7" s="6">
        <v>0.49</v>
      </c>
      <c r="I7" s="10">
        <v>0.010564545454545455</v>
      </c>
    </row>
    <row r="8">
      <c r="A8" s="6">
        <v>1.0</v>
      </c>
      <c r="B8" s="6" t="s">
        <v>12</v>
      </c>
      <c r="C8" s="6"/>
      <c r="D8" s="7">
        <v>3.0</v>
      </c>
      <c r="E8" s="6" t="s">
        <v>20</v>
      </c>
      <c r="F8" s="6">
        <v>7.101</v>
      </c>
      <c r="G8" s="7">
        <v>5359.0</v>
      </c>
      <c r="H8" s="6">
        <v>0.18</v>
      </c>
      <c r="I8" s="10">
        <v>0.0063131818181818185</v>
      </c>
    </row>
    <row r="9">
      <c r="A9" s="6">
        <v>1.0</v>
      </c>
      <c r="B9" s="6" t="s">
        <v>21</v>
      </c>
      <c r="C9" s="6" t="s">
        <v>10</v>
      </c>
      <c r="D9" s="7">
        <v>0.0</v>
      </c>
      <c r="E9" s="6" t="s">
        <v>11</v>
      </c>
      <c r="F9" s="6">
        <v>4.776</v>
      </c>
      <c r="G9" s="7">
        <v>575822.0</v>
      </c>
      <c r="H9" s="6">
        <v>19.8</v>
      </c>
      <c r="I9" s="10">
        <v>0.26561454545454544</v>
      </c>
    </row>
    <row r="10">
      <c r="A10" s="6">
        <v>1.0</v>
      </c>
      <c r="B10" s="6" t="s">
        <v>21</v>
      </c>
      <c r="C10" s="6" t="s">
        <v>13</v>
      </c>
      <c r="D10" s="7">
        <v>1.0</v>
      </c>
      <c r="E10" s="6" t="s">
        <v>14</v>
      </c>
      <c r="F10" s="6">
        <v>5.809</v>
      </c>
      <c r="G10" s="7">
        <v>57181.0</v>
      </c>
      <c r="H10" s="6">
        <v>1.97</v>
      </c>
      <c r="I10" s="10">
        <v>0.029868636363636365</v>
      </c>
    </row>
    <row r="11">
      <c r="A11" s="6">
        <v>1.0</v>
      </c>
      <c r="B11" s="6" t="s">
        <v>21</v>
      </c>
      <c r="C11" s="6" t="s">
        <v>15</v>
      </c>
      <c r="D11" s="7">
        <v>1.0</v>
      </c>
      <c r="E11" s="6" t="s">
        <v>16</v>
      </c>
      <c r="F11" s="6">
        <v>5.943</v>
      </c>
      <c r="G11" s="7">
        <v>1960496.0</v>
      </c>
      <c r="H11" s="6">
        <v>67.42</v>
      </c>
      <c r="I11" s="10">
        <v>0.8950118181818182</v>
      </c>
    </row>
    <row r="12">
      <c r="A12" s="6">
        <v>1.0</v>
      </c>
      <c r="B12" s="6" t="s">
        <v>21</v>
      </c>
      <c r="C12" s="6" t="s">
        <v>17</v>
      </c>
      <c r="D12" s="7">
        <v>2.0</v>
      </c>
      <c r="E12" s="6" t="s">
        <v>18</v>
      </c>
      <c r="F12" s="6">
        <v>6.487</v>
      </c>
      <c r="G12" s="7">
        <v>262470.0</v>
      </c>
      <c r="H12" s="6">
        <v>9.03</v>
      </c>
      <c r="I12" s="10">
        <v>0.12318181818181818</v>
      </c>
    </row>
    <row r="13">
      <c r="A13" s="6">
        <v>1.0</v>
      </c>
      <c r="B13" s="6" t="s">
        <v>21</v>
      </c>
      <c r="C13" s="11"/>
      <c r="D13" s="7">
        <v>2.0</v>
      </c>
      <c r="E13" s="6" t="s">
        <v>19</v>
      </c>
      <c r="F13" s="6">
        <v>6.626</v>
      </c>
      <c r="G13" s="7">
        <v>26401.0</v>
      </c>
      <c r="H13" s="6">
        <v>0.91</v>
      </c>
      <c r="I13" s="10">
        <v>0.015877727272727273</v>
      </c>
    </row>
    <row r="14">
      <c r="A14" s="6">
        <v>1.0</v>
      </c>
      <c r="B14" s="6" t="s">
        <v>21</v>
      </c>
      <c r="C14" s="6"/>
      <c r="D14" s="7">
        <v>2.0</v>
      </c>
      <c r="E14" s="6" t="s">
        <v>22</v>
      </c>
      <c r="F14" s="6">
        <v>6.773</v>
      </c>
      <c r="G14" s="7">
        <v>1143.0</v>
      </c>
      <c r="H14" s="6">
        <v>0.04</v>
      </c>
      <c r="I14" s="10">
        <v>0.004396818181818181</v>
      </c>
    </row>
    <row r="15">
      <c r="A15" s="6">
        <v>1.0</v>
      </c>
      <c r="B15" s="6" t="s">
        <v>21</v>
      </c>
      <c r="C15" s="6"/>
      <c r="D15" s="7">
        <v>3.0</v>
      </c>
      <c r="E15" s="6" t="s">
        <v>20</v>
      </c>
      <c r="F15" s="6">
        <v>7.104</v>
      </c>
      <c r="G15" s="7">
        <v>9922.0</v>
      </c>
      <c r="H15" s="6">
        <v>0.34</v>
      </c>
      <c r="I15" s="10">
        <v>0.008387272727272728</v>
      </c>
    </row>
    <row r="16">
      <c r="A16" s="6">
        <v>1.0</v>
      </c>
      <c r="B16" s="6" t="s">
        <v>23</v>
      </c>
      <c r="C16" s="6" t="s">
        <v>10</v>
      </c>
      <c r="D16" s="7">
        <v>0.0</v>
      </c>
      <c r="E16" s="6" t="s">
        <v>11</v>
      </c>
      <c r="F16" s="6">
        <v>4.78</v>
      </c>
      <c r="G16" s="7">
        <v>463017.0</v>
      </c>
      <c r="H16" s="6">
        <v>15.6</v>
      </c>
      <c r="I16" s="10">
        <v>0.21433954545454545</v>
      </c>
    </row>
    <row r="17">
      <c r="A17" s="6">
        <v>1.0</v>
      </c>
      <c r="B17" s="6" t="s">
        <v>23</v>
      </c>
      <c r="C17" s="6" t="s">
        <v>13</v>
      </c>
      <c r="D17" s="7">
        <v>1.0</v>
      </c>
      <c r="E17" s="6" t="s">
        <v>14</v>
      </c>
      <c r="F17" s="6">
        <v>5.81</v>
      </c>
      <c r="G17" s="7">
        <v>53806.0</v>
      </c>
      <c r="H17" s="6">
        <v>1.81</v>
      </c>
      <c r="I17" s="10">
        <v>0.028334545454545456</v>
      </c>
    </row>
    <row r="18">
      <c r="A18" s="6">
        <v>1.0</v>
      </c>
      <c r="B18" s="6" t="s">
        <v>23</v>
      </c>
      <c r="C18" s="6" t="s">
        <v>15</v>
      </c>
      <c r="D18" s="7">
        <v>1.0</v>
      </c>
      <c r="E18" s="6" t="s">
        <v>16</v>
      </c>
      <c r="F18" s="6">
        <v>5.945</v>
      </c>
      <c r="G18" s="7">
        <v>2088510.0</v>
      </c>
      <c r="H18" s="6">
        <v>70.35</v>
      </c>
      <c r="I18" s="10">
        <v>0.9532</v>
      </c>
    </row>
    <row r="19">
      <c r="A19" s="6">
        <v>1.0</v>
      </c>
      <c r="B19" s="6" t="s">
        <v>23</v>
      </c>
      <c r="C19" s="6" t="s">
        <v>17</v>
      </c>
      <c r="D19" s="7">
        <v>2.0</v>
      </c>
      <c r="E19" s="6" t="s">
        <v>18</v>
      </c>
      <c r="F19" s="6">
        <v>6.49</v>
      </c>
      <c r="G19" s="7">
        <v>302901.0</v>
      </c>
      <c r="H19" s="6">
        <v>10.2</v>
      </c>
      <c r="I19" s="10">
        <v>0.14155954545454547</v>
      </c>
    </row>
    <row r="20">
      <c r="A20" s="6">
        <v>1.0</v>
      </c>
      <c r="B20" s="6" t="s">
        <v>23</v>
      </c>
      <c r="C20" s="6"/>
      <c r="D20" s="7">
        <v>2.0</v>
      </c>
      <c r="E20" s="6" t="s">
        <v>19</v>
      </c>
      <c r="F20" s="6">
        <v>6.627</v>
      </c>
      <c r="G20" s="7">
        <v>15402.0</v>
      </c>
      <c r="H20" s="7">
        <v>0.52</v>
      </c>
      <c r="I20" s="10">
        <v>0.010878181818181818</v>
      </c>
    </row>
    <row r="21">
      <c r="A21" s="6">
        <v>1.0</v>
      </c>
      <c r="B21" s="6" t="s">
        <v>23</v>
      </c>
      <c r="C21" s="6"/>
      <c r="D21" s="7">
        <v>2.0</v>
      </c>
      <c r="E21" s="6" t="s">
        <v>22</v>
      </c>
      <c r="F21" s="6">
        <v>6.713</v>
      </c>
      <c r="G21" s="7">
        <v>6038.0</v>
      </c>
      <c r="H21" s="7">
        <v>0.2</v>
      </c>
      <c r="I21" s="10">
        <v>0.006621818181818182</v>
      </c>
    </row>
    <row r="22">
      <c r="A22" s="6">
        <v>1.0</v>
      </c>
      <c r="B22" s="6" t="s">
        <v>23</v>
      </c>
      <c r="C22" s="11"/>
      <c r="D22" s="7">
        <v>3.0</v>
      </c>
      <c r="E22" s="6" t="s">
        <v>20</v>
      </c>
      <c r="F22" s="6">
        <v>7.107</v>
      </c>
      <c r="G22" s="7">
        <v>10304.0</v>
      </c>
      <c r="H22" s="7">
        <v>0.35</v>
      </c>
      <c r="I22" s="10">
        <v>0.008560909090909091</v>
      </c>
    </row>
    <row r="23">
      <c r="A23" s="6">
        <v>1.0</v>
      </c>
      <c r="B23" s="6" t="s">
        <v>24</v>
      </c>
      <c r="C23" s="6" t="s">
        <v>10</v>
      </c>
      <c r="D23" s="7">
        <v>0.0</v>
      </c>
      <c r="E23" s="6" t="s">
        <v>11</v>
      </c>
      <c r="F23" s="6">
        <v>4.767</v>
      </c>
      <c r="G23" s="7">
        <v>436071.0</v>
      </c>
      <c r="H23" s="7">
        <v>13.74</v>
      </c>
      <c r="I23" s="10">
        <v>0.20209136363636362</v>
      </c>
    </row>
    <row r="24">
      <c r="A24" s="6">
        <v>1.0</v>
      </c>
      <c r="B24" s="6" t="s">
        <v>24</v>
      </c>
      <c r="C24" s="6" t="s">
        <v>13</v>
      </c>
      <c r="D24" s="7">
        <v>1.0</v>
      </c>
      <c r="E24" s="6" t="s">
        <v>14</v>
      </c>
      <c r="F24" s="6">
        <v>5.808</v>
      </c>
      <c r="G24" s="7">
        <v>55621.0</v>
      </c>
      <c r="H24" s="7">
        <v>1.75</v>
      </c>
      <c r="I24" s="10">
        <v>0.029159545454545455</v>
      </c>
    </row>
    <row r="25">
      <c r="A25" s="6">
        <v>1.0</v>
      </c>
      <c r="B25" s="6" t="s">
        <v>24</v>
      </c>
      <c r="C25" s="6" t="s">
        <v>15</v>
      </c>
      <c r="D25" s="7">
        <v>1.0</v>
      </c>
      <c r="E25" s="6" t="s">
        <v>16</v>
      </c>
      <c r="F25" s="6">
        <v>5.945</v>
      </c>
      <c r="G25" s="7">
        <v>2252982.0</v>
      </c>
      <c r="H25" s="6">
        <v>70.98</v>
      </c>
      <c r="I25" s="10">
        <v>1.02796</v>
      </c>
    </row>
    <row r="26">
      <c r="A26" s="6">
        <v>1.0</v>
      </c>
      <c r="B26" s="6" t="s">
        <v>24</v>
      </c>
      <c r="C26" s="6" t="s">
        <v>17</v>
      </c>
      <c r="D26" s="7">
        <v>2.0</v>
      </c>
      <c r="E26" s="6" t="s">
        <v>18</v>
      </c>
      <c r="F26" s="6">
        <v>6.489</v>
      </c>
      <c r="G26" s="7">
        <v>357489.0</v>
      </c>
      <c r="H26" s="6">
        <v>11.26</v>
      </c>
      <c r="I26" s="10">
        <v>0.16637227272727273</v>
      </c>
    </row>
    <row r="27">
      <c r="A27" s="6">
        <v>1.0</v>
      </c>
      <c r="B27" s="6" t="s">
        <v>24</v>
      </c>
      <c r="C27" s="6"/>
      <c r="D27" s="7">
        <v>2.0</v>
      </c>
      <c r="E27" s="6" t="s">
        <v>19</v>
      </c>
      <c r="F27" s="8">
        <v>6.626</v>
      </c>
      <c r="G27" s="7">
        <v>20601.0</v>
      </c>
      <c r="H27" s="9">
        <v>0.65</v>
      </c>
      <c r="I27" s="10">
        <v>0.013241363636363636</v>
      </c>
    </row>
    <row r="28">
      <c r="A28" s="6">
        <v>1.0</v>
      </c>
      <c r="B28" s="6" t="s">
        <v>24</v>
      </c>
      <c r="C28" s="6"/>
      <c r="D28" s="7">
        <v>2.0</v>
      </c>
      <c r="E28" s="6" t="s">
        <v>22</v>
      </c>
      <c r="F28" s="8">
        <v>6.712</v>
      </c>
      <c r="G28" s="7">
        <v>7651.0</v>
      </c>
      <c r="H28" s="9">
        <v>0.24</v>
      </c>
      <c r="I28" s="10">
        <v>0.007355</v>
      </c>
    </row>
    <row r="29">
      <c r="A29" s="6">
        <v>1.0</v>
      </c>
      <c r="B29" s="6" t="s">
        <v>24</v>
      </c>
      <c r="C29" s="11"/>
      <c r="D29" s="7">
        <v>3.0</v>
      </c>
      <c r="E29" s="6" t="s">
        <v>20</v>
      </c>
      <c r="F29" s="8">
        <v>7.109</v>
      </c>
      <c r="G29" s="7">
        <v>14013.0</v>
      </c>
      <c r="H29" s="9">
        <v>0.44</v>
      </c>
      <c r="I29" s="10">
        <v>0.010246818181818182</v>
      </c>
    </row>
    <row r="30">
      <c r="A30" s="6">
        <v>1.0</v>
      </c>
      <c r="B30" s="6" t="s">
        <v>25</v>
      </c>
      <c r="C30" s="6" t="s">
        <v>10</v>
      </c>
      <c r="D30" s="7">
        <v>0.0</v>
      </c>
      <c r="E30" s="6" t="s">
        <v>11</v>
      </c>
      <c r="F30" s="6">
        <v>4.777</v>
      </c>
      <c r="G30" s="7">
        <v>367940.0</v>
      </c>
      <c r="H30" s="6">
        <v>12.37</v>
      </c>
      <c r="I30" s="10">
        <v>0.17112272727272726</v>
      </c>
    </row>
    <row r="31">
      <c r="A31" s="6">
        <v>1.0</v>
      </c>
      <c r="B31" s="6" t="s">
        <v>25</v>
      </c>
      <c r="C31" s="6" t="s">
        <v>13</v>
      </c>
      <c r="D31" s="7">
        <v>1.0</v>
      </c>
      <c r="E31" s="6" t="s">
        <v>14</v>
      </c>
      <c r="F31" s="6">
        <v>5.808</v>
      </c>
      <c r="G31" s="7">
        <v>49558.0</v>
      </c>
      <c r="H31" s="6">
        <v>1.67</v>
      </c>
      <c r="I31" s="10">
        <v>0.026403636363636365</v>
      </c>
    </row>
    <row r="32">
      <c r="A32" s="6">
        <v>1.0</v>
      </c>
      <c r="B32" s="6" t="s">
        <v>25</v>
      </c>
      <c r="C32" s="6" t="s">
        <v>15</v>
      </c>
      <c r="D32" s="7">
        <v>1.0</v>
      </c>
      <c r="E32" s="6" t="s">
        <v>16</v>
      </c>
      <c r="F32" s="6">
        <v>5.945</v>
      </c>
      <c r="G32" s="7">
        <v>2137848.0</v>
      </c>
      <c r="H32" s="6">
        <v>71.87</v>
      </c>
      <c r="I32" s="10">
        <v>0.9756263636363637</v>
      </c>
    </row>
    <row r="33">
      <c r="A33" s="6">
        <v>1.0</v>
      </c>
      <c r="B33" s="6" t="s">
        <v>25</v>
      </c>
      <c r="C33" s="6" t="s">
        <v>17</v>
      </c>
      <c r="D33" s="7">
        <v>2.0</v>
      </c>
      <c r="E33" s="6" t="s">
        <v>18</v>
      </c>
      <c r="F33" s="6">
        <v>6.49</v>
      </c>
      <c r="G33" s="7">
        <v>350950.0</v>
      </c>
      <c r="H33" s="6">
        <v>11.8</v>
      </c>
      <c r="I33" s="10">
        <v>0.1634</v>
      </c>
    </row>
    <row r="34">
      <c r="A34" s="6">
        <v>1.0</v>
      </c>
      <c r="B34" s="6" t="s">
        <v>25</v>
      </c>
      <c r="C34" s="6"/>
      <c r="D34" s="7">
        <v>2.0</v>
      </c>
      <c r="E34" s="6" t="s">
        <v>19</v>
      </c>
      <c r="F34" s="6">
        <v>6.626</v>
      </c>
      <c r="G34" s="7">
        <v>18245.0</v>
      </c>
      <c r="H34" s="6">
        <v>0.61</v>
      </c>
      <c r="I34" s="10">
        <v>0.012170454545454545</v>
      </c>
    </row>
    <row r="35">
      <c r="A35" s="6">
        <v>1.0</v>
      </c>
      <c r="B35" s="6" t="s">
        <v>25</v>
      </c>
      <c r="C35" s="6"/>
      <c r="D35" s="7">
        <v>2.0</v>
      </c>
      <c r="E35" s="6" t="s">
        <v>22</v>
      </c>
      <c r="F35" s="6">
        <v>6.712</v>
      </c>
      <c r="G35" s="7">
        <v>7288.0</v>
      </c>
      <c r="H35" s="6">
        <v>0.24</v>
      </c>
      <c r="I35" s="10">
        <v>0.00719</v>
      </c>
    </row>
    <row r="36">
      <c r="A36" s="6">
        <v>1.0</v>
      </c>
      <c r="B36" s="6" t="s">
        <v>25</v>
      </c>
      <c r="C36" s="6"/>
      <c r="D36" s="7">
        <v>3.0</v>
      </c>
      <c r="E36" s="6" t="s">
        <v>20</v>
      </c>
      <c r="F36" s="6">
        <v>7.11</v>
      </c>
      <c r="G36" s="7">
        <v>13576.0</v>
      </c>
      <c r="H36" s="6">
        <v>0.46</v>
      </c>
      <c r="I36" s="10">
        <v>0.010048181818181819</v>
      </c>
    </row>
    <row r="37">
      <c r="A37" s="6">
        <v>1.0</v>
      </c>
      <c r="B37" s="6" t="s">
        <v>26</v>
      </c>
      <c r="C37" s="6" t="s">
        <v>10</v>
      </c>
      <c r="D37" s="7">
        <v>0.0</v>
      </c>
      <c r="E37" s="6" t="s">
        <v>11</v>
      </c>
      <c r="F37" s="6">
        <v>4.772</v>
      </c>
      <c r="G37" s="7">
        <v>325751.0</v>
      </c>
      <c r="H37" s="6">
        <v>11.56</v>
      </c>
      <c r="I37" s="10">
        <v>0.1519459090909091</v>
      </c>
    </row>
    <row r="38">
      <c r="A38" s="6">
        <v>1.0</v>
      </c>
      <c r="B38" s="6" t="s">
        <v>26</v>
      </c>
      <c r="C38" s="6" t="s">
        <v>13</v>
      </c>
      <c r="D38" s="7">
        <v>1.0</v>
      </c>
      <c r="E38" s="6" t="s">
        <v>14</v>
      </c>
      <c r="F38" s="6">
        <v>5.807</v>
      </c>
      <c r="G38" s="7">
        <v>45843.0</v>
      </c>
      <c r="H38" s="6">
        <v>1.63</v>
      </c>
      <c r="I38" s="10">
        <v>0.024715</v>
      </c>
    </row>
    <row r="39">
      <c r="A39" s="6">
        <v>1.0</v>
      </c>
      <c r="B39" s="6" t="s">
        <v>26</v>
      </c>
      <c r="C39" s="6" t="s">
        <v>15</v>
      </c>
      <c r="D39" s="7">
        <v>1.0</v>
      </c>
      <c r="E39" s="6" t="s">
        <v>16</v>
      </c>
      <c r="F39" s="6">
        <v>5.942</v>
      </c>
      <c r="G39" s="7">
        <v>2029905.0</v>
      </c>
      <c r="H39" s="6">
        <v>72.06</v>
      </c>
      <c r="I39" s="10">
        <v>0.9265613636363637</v>
      </c>
    </row>
    <row r="40">
      <c r="A40" s="6">
        <v>1.0</v>
      </c>
      <c r="B40" s="6" t="s">
        <v>26</v>
      </c>
      <c r="C40" s="6" t="s">
        <v>17</v>
      </c>
      <c r="D40" s="7">
        <v>2.0</v>
      </c>
      <c r="E40" s="6" t="s">
        <v>18</v>
      </c>
      <c r="F40" s="6">
        <v>6.488</v>
      </c>
      <c r="G40" s="7">
        <v>347256.0</v>
      </c>
      <c r="H40" s="6">
        <v>12.33</v>
      </c>
      <c r="I40" s="10">
        <v>0.16172090909090908</v>
      </c>
    </row>
    <row r="41">
      <c r="A41" s="6">
        <v>1.0</v>
      </c>
      <c r="B41" s="6" t="s">
        <v>26</v>
      </c>
      <c r="C41" s="6"/>
      <c r="D41" s="7">
        <v>2.0</v>
      </c>
      <c r="E41" s="6" t="s">
        <v>19</v>
      </c>
      <c r="F41" s="6">
        <v>6.628</v>
      </c>
      <c r="G41" s="7">
        <v>17999.0</v>
      </c>
      <c r="H41" s="6">
        <v>0.64</v>
      </c>
      <c r="I41" s="10">
        <v>0.012058636363636363</v>
      </c>
    </row>
    <row r="42">
      <c r="A42" s="6">
        <v>1.0</v>
      </c>
      <c r="B42" s="6" t="s">
        <v>26</v>
      </c>
      <c r="C42" s="6"/>
      <c r="D42" s="7">
        <v>2.0</v>
      </c>
      <c r="E42" s="6" t="s">
        <v>22</v>
      </c>
      <c r="F42" s="6">
        <v>6.714</v>
      </c>
      <c r="G42" s="7">
        <v>6883.0</v>
      </c>
      <c r="H42" s="6">
        <v>0.24</v>
      </c>
      <c r="I42" s="10">
        <v>0.007005909090909091</v>
      </c>
    </row>
    <row r="43">
      <c r="A43" s="6">
        <v>1.0</v>
      </c>
      <c r="B43" s="6" t="s">
        <v>26</v>
      </c>
      <c r="C43" s="6"/>
      <c r="D43" s="7">
        <v>3.0</v>
      </c>
      <c r="E43" s="6" t="s">
        <v>20</v>
      </c>
      <c r="F43" s="6">
        <v>7.109</v>
      </c>
      <c r="G43" s="7">
        <v>13791.0</v>
      </c>
      <c r="H43" s="6">
        <v>0.49</v>
      </c>
      <c r="I43" s="10">
        <v>0.01014590909090909</v>
      </c>
    </row>
    <row r="44">
      <c r="A44" s="6">
        <v>1.0</v>
      </c>
      <c r="B44" s="6" t="s">
        <v>27</v>
      </c>
      <c r="C44" s="6" t="s">
        <v>10</v>
      </c>
      <c r="D44" s="7">
        <v>0.0</v>
      </c>
      <c r="E44" s="6" t="s">
        <v>11</v>
      </c>
      <c r="F44" s="6">
        <v>4.775</v>
      </c>
      <c r="G44" s="7">
        <v>301482.0</v>
      </c>
      <c r="H44" s="6">
        <v>10.92</v>
      </c>
      <c r="I44" s="10">
        <v>0.14091454545454546</v>
      </c>
    </row>
    <row r="45">
      <c r="A45" s="6">
        <v>1.0</v>
      </c>
      <c r="B45" s="6" t="s">
        <v>27</v>
      </c>
      <c r="C45" s="6" t="s">
        <v>13</v>
      </c>
      <c r="D45" s="7">
        <v>1.0</v>
      </c>
      <c r="E45" s="6" t="s">
        <v>14</v>
      </c>
      <c r="F45" s="6">
        <v>5.808</v>
      </c>
      <c r="G45" s="7">
        <v>44805.0</v>
      </c>
      <c r="H45" s="6">
        <v>1.62</v>
      </c>
      <c r="I45" s="10">
        <v>0.024243181818181817</v>
      </c>
    </row>
    <row r="46">
      <c r="A46" s="6">
        <v>1.0</v>
      </c>
      <c r="B46" s="6" t="s">
        <v>27</v>
      </c>
      <c r="C46" s="6" t="s">
        <v>15</v>
      </c>
      <c r="D46" s="7">
        <v>1.0</v>
      </c>
      <c r="E46" s="6" t="s">
        <v>16</v>
      </c>
      <c r="F46" s="6">
        <v>5.942</v>
      </c>
      <c r="G46" s="7">
        <v>1979839.0</v>
      </c>
      <c r="H46" s="6">
        <v>71.74</v>
      </c>
      <c r="I46" s="10">
        <v>0.9038040909090909</v>
      </c>
    </row>
    <row r="47">
      <c r="A47" s="6">
        <v>1.0</v>
      </c>
      <c r="B47" s="6" t="s">
        <v>27</v>
      </c>
      <c r="C47" s="6" t="s">
        <v>17</v>
      </c>
      <c r="D47" s="7">
        <v>2.0</v>
      </c>
      <c r="E47" s="6" t="s">
        <v>18</v>
      </c>
      <c r="F47" s="6">
        <v>6.494</v>
      </c>
      <c r="G47" s="7">
        <v>352695.0</v>
      </c>
      <c r="H47" s="6">
        <v>12.78</v>
      </c>
      <c r="I47" s="10">
        <v>0.16419318181818182</v>
      </c>
    </row>
    <row r="48">
      <c r="A48" s="6">
        <v>1.0</v>
      </c>
      <c r="B48" s="6" t="s">
        <v>27</v>
      </c>
      <c r="C48" s="6"/>
      <c r="D48" s="7">
        <v>2.0</v>
      </c>
      <c r="E48" s="6" t="s">
        <v>19</v>
      </c>
      <c r="F48" s="6">
        <v>6.63</v>
      </c>
      <c r="G48" s="7">
        <v>22809.0</v>
      </c>
      <c r="H48" s="6">
        <v>0.83</v>
      </c>
      <c r="I48" s="10">
        <v>0.014245</v>
      </c>
    </row>
    <row r="49">
      <c r="A49" s="6">
        <v>1.0</v>
      </c>
      <c r="B49" s="6" t="s">
        <v>27</v>
      </c>
      <c r="C49" s="6"/>
      <c r="D49" s="7">
        <v>2.0</v>
      </c>
      <c r="E49" s="6" t="s">
        <v>22</v>
      </c>
      <c r="F49" s="6">
        <v>6.717</v>
      </c>
      <c r="G49" s="7">
        <v>12733.0</v>
      </c>
      <c r="H49" s="6">
        <v>0.46</v>
      </c>
      <c r="I49" s="10">
        <v>0.009665</v>
      </c>
    </row>
    <row r="50">
      <c r="A50" s="6">
        <v>1.0</v>
      </c>
      <c r="B50" s="6" t="s">
        <v>27</v>
      </c>
      <c r="C50" s="6"/>
      <c r="D50" s="7">
        <v>3.0</v>
      </c>
      <c r="E50" s="6" t="s">
        <v>20</v>
      </c>
      <c r="F50" s="6">
        <v>7.108</v>
      </c>
      <c r="G50" s="7">
        <v>14996.0</v>
      </c>
      <c r="H50" s="6">
        <v>0.54</v>
      </c>
      <c r="I50" s="10">
        <v>0.010693636363636363</v>
      </c>
    </row>
    <row r="51">
      <c r="A51" s="6">
        <v>1.0</v>
      </c>
      <c r="B51" s="6" t="s">
        <v>28</v>
      </c>
      <c r="C51" s="6" t="s">
        <v>10</v>
      </c>
      <c r="D51" s="7">
        <v>0.0</v>
      </c>
      <c r="E51" s="6" t="s">
        <v>11</v>
      </c>
      <c r="F51" s="6">
        <v>4.773</v>
      </c>
      <c r="G51" s="7">
        <v>320818.0</v>
      </c>
      <c r="H51" s="6">
        <v>10.98</v>
      </c>
      <c r="I51" s="10">
        <v>0.14970363636363637</v>
      </c>
    </row>
    <row r="52">
      <c r="A52" s="6">
        <v>1.0</v>
      </c>
      <c r="B52" s="6" t="s">
        <v>28</v>
      </c>
      <c r="C52" s="6" t="s">
        <v>13</v>
      </c>
      <c r="D52" s="7">
        <v>1.0</v>
      </c>
      <c r="E52" s="6" t="s">
        <v>14</v>
      </c>
      <c r="F52" s="6">
        <v>5.81</v>
      </c>
      <c r="G52" s="7">
        <v>46039.0</v>
      </c>
      <c r="H52" s="6">
        <v>1.58</v>
      </c>
      <c r="I52" s="10">
        <v>0.024804090909090908</v>
      </c>
    </row>
    <row r="53">
      <c r="A53" s="6">
        <v>1.0</v>
      </c>
      <c r="B53" s="6" t="s">
        <v>28</v>
      </c>
      <c r="C53" s="6" t="s">
        <v>15</v>
      </c>
      <c r="D53" s="7">
        <v>1.0</v>
      </c>
      <c r="E53" s="6" t="s">
        <v>16</v>
      </c>
      <c r="F53" s="6">
        <v>5.946</v>
      </c>
      <c r="G53" s="7">
        <v>2115323.0</v>
      </c>
      <c r="H53" s="6">
        <v>72.39</v>
      </c>
      <c r="I53" s="10">
        <v>0.9653877272727273</v>
      </c>
    </row>
    <row r="54">
      <c r="A54" s="6">
        <v>1.0</v>
      </c>
      <c r="B54" s="6" t="s">
        <v>28</v>
      </c>
      <c r="C54" s="6" t="s">
        <v>17</v>
      </c>
      <c r="D54" s="7">
        <v>2.0</v>
      </c>
      <c r="E54" s="6" t="s">
        <v>18</v>
      </c>
      <c r="F54" s="6">
        <v>6.488</v>
      </c>
      <c r="G54" s="7">
        <v>367858.0</v>
      </c>
      <c r="H54" s="6">
        <v>12.59</v>
      </c>
      <c r="I54" s="10">
        <v>0.17108545454545454</v>
      </c>
    </row>
    <row r="55">
      <c r="A55" s="6">
        <v>1.0</v>
      </c>
      <c r="B55" s="6" t="s">
        <v>28</v>
      </c>
      <c r="C55" s="6"/>
      <c r="D55" s="7">
        <v>2.0</v>
      </c>
      <c r="E55" s="6" t="s">
        <v>19</v>
      </c>
      <c r="F55" s="6">
        <v>6.624</v>
      </c>
      <c r="G55" s="7">
        <v>18345.0</v>
      </c>
      <c r="H55" s="6">
        <v>0.63</v>
      </c>
      <c r="I55" s="10">
        <v>0.012215909090909092</v>
      </c>
    </row>
    <row r="56">
      <c r="A56" s="6">
        <v>1.0</v>
      </c>
      <c r="B56" s="6" t="s">
        <v>28</v>
      </c>
      <c r="C56" s="6"/>
      <c r="D56" s="7">
        <v>2.0</v>
      </c>
      <c r="E56" s="6" t="s">
        <v>22</v>
      </c>
      <c r="F56" s="6">
        <v>6.715</v>
      </c>
      <c r="G56" s="7">
        <v>8036.0</v>
      </c>
      <c r="H56" s="6">
        <v>0.28</v>
      </c>
      <c r="I56" s="10">
        <v>0.00753</v>
      </c>
    </row>
    <row r="57">
      <c r="A57" s="6">
        <v>1.0</v>
      </c>
      <c r="B57" s="6" t="s">
        <v>28</v>
      </c>
      <c r="C57" s="6"/>
      <c r="D57" s="7">
        <v>3.0</v>
      </c>
      <c r="E57" s="6" t="s">
        <v>20</v>
      </c>
      <c r="F57" s="6">
        <v>7.102</v>
      </c>
      <c r="G57" s="7">
        <v>13581.0</v>
      </c>
      <c r="H57" s="6">
        <v>0.46</v>
      </c>
      <c r="I57" s="10">
        <v>0.010050454545454545</v>
      </c>
    </row>
    <row r="58">
      <c r="A58" s="6">
        <v>1.0</v>
      </c>
      <c r="B58" s="6" t="s">
        <v>29</v>
      </c>
      <c r="C58" s="6" t="s">
        <v>10</v>
      </c>
      <c r="D58" s="7">
        <v>0.0</v>
      </c>
      <c r="E58" s="6" t="s">
        <v>11</v>
      </c>
      <c r="F58" s="6">
        <v>4.774</v>
      </c>
      <c r="G58" s="7">
        <v>346185.0</v>
      </c>
      <c r="H58" s="6">
        <v>10.77</v>
      </c>
      <c r="I58" s="10">
        <v>0.1612340909090909</v>
      </c>
    </row>
    <row r="59">
      <c r="A59" s="6">
        <v>1.0</v>
      </c>
      <c r="B59" s="6" t="s">
        <v>29</v>
      </c>
      <c r="C59" s="6" t="s">
        <v>13</v>
      </c>
      <c r="D59" s="7">
        <v>1.0</v>
      </c>
      <c r="E59" s="6" t="s">
        <v>14</v>
      </c>
      <c r="F59" s="6">
        <v>5.809</v>
      </c>
      <c r="G59" s="7">
        <v>50371.0</v>
      </c>
      <c r="H59" s="6">
        <v>1.57</v>
      </c>
      <c r="I59" s="10">
        <v>0.026773181818181817</v>
      </c>
    </row>
    <row r="60">
      <c r="A60" s="6">
        <v>1.0</v>
      </c>
      <c r="B60" s="6" t="s">
        <v>29</v>
      </c>
      <c r="C60" s="6" t="s">
        <v>15</v>
      </c>
      <c r="D60" s="7">
        <v>1.0</v>
      </c>
      <c r="E60" s="6" t="s">
        <v>16</v>
      </c>
      <c r="F60" s="6">
        <v>5.946</v>
      </c>
      <c r="G60" s="7">
        <v>2326273.0</v>
      </c>
      <c r="H60" s="6">
        <v>72.36</v>
      </c>
      <c r="I60" s="10">
        <v>1.061274090909091</v>
      </c>
    </row>
    <row r="61">
      <c r="A61" s="6">
        <v>1.0</v>
      </c>
      <c r="B61" s="6" t="s">
        <v>29</v>
      </c>
      <c r="C61" s="6" t="s">
        <v>17</v>
      </c>
      <c r="D61" s="7">
        <v>2.0</v>
      </c>
      <c r="E61" s="6" t="s">
        <v>18</v>
      </c>
      <c r="F61" s="6">
        <v>6.49</v>
      </c>
      <c r="G61" s="7">
        <v>408847.0</v>
      </c>
      <c r="H61" s="6">
        <v>12.72</v>
      </c>
      <c r="I61" s="10">
        <v>0.18971681818181818</v>
      </c>
    </row>
    <row r="62">
      <c r="A62" s="6">
        <v>1.0</v>
      </c>
      <c r="B62" s="6" t="s">
        <v>29</v>
      </c>
      <c r="C62" s="6"/>
      <c r="D62" s="7">
        <v>2.0</v>
      </c>
      <c r="E62" s="6" t="s">
        <v>19</v>
      </c>
      <c r="F62" s="6">
        <v>6.625</v>
      </c>
      <c r="G62" s="7">
        <v>22263.0</v>
      </c>
      <c r="H62" s="6">
        <v>0.69</v>
      </c>
      <c r="I62" s="10">
        <v>0.013996818181818181</v>
      </c>
    </row>
    <row r="63">
      <c r="A63" s="6">
        <v>1.0</v>
      </c>
      <c r="B63" s="6" t="s">
        <v>29</v>
      </c>
      <c r="C63" s="6"/>
      <c r="D63" s="7">
        <v>2.0</v>
      </c>
      <c r="E63" s="6" t="s">
        <v>22</v>
      </c>
      <c r="F63" s="6">
        <v>6.711</v>
      </c>
      <c r="G63" s="7">
        <v>9263.0</v>
      </c>
      <c r="H63" s="6">
        <v>0.29</v>
      </c>
      <c r="I63" s="10">
        <v>0.008087727272727272</v>
      </c>
    </row>
    <row r="64">
      <c r="A64" s="6">
        <v>1.0</v>
      </c>
      <c r="B64" s="6" t="s">
        <v>29</v>
      </c>
      <c r="C64" s="6"/>
      <c r="D64" s="7">
        <v>3.0</v>
      </c>
      <c r="E64" s="6" t="s">
        <v>20</v>
      </c>
      <c r="F64" s="6">
        <v>7.106</v>
      </c>
      <c r="G64" s="7">
        <v>16148.0</v>
      </c>
      <c r="H64" s="6">
        <v>0.5</v>
      </c>
      <c r="I64" s="10">
        <v>0.011217272727272727</v>
      </c>
    </row>
    <row r="65">
      <c r="A65" s="6">
        <v>1.0</v>
      </c>
      <c r="B65" s="6" t="s">
        <v>30</v>
      </c>
      <c r="C65" s="6" t="s">
        <v>10</v>
      </c>
      <c r="D65" s="7">
        <v>0.0</v>
      </c>
      <c r="E65" s="6" t="s">
        <v>11</v>
      </c>
      <c r="F65" s="6">
        <v>4.771</v>
      </c>
      <c r="G65" s="7">
        <v>320032.0</v>
      </c>
      <c r="H65" s="6">
        <v>10.3</v>
      </c>
      <c r="I65" s="10">
        <v>0.14934636363636364</v>
      </c>
    </row>
    <row r="66">
      <c r="A66" s="6">
        <v>1.0</v>
      </c>
      <c r="B66" s="6" t="s">
        <v>30</v>
      </c>
      <c r="C66" s="6" t="s">
        <v>13</v>
      </c>
      <c r="D66" s="7">
        <v>1.0</v>
      </c>
      <c r="E66" s="6" t="s">
        <v>14</v>
      </c>
      <c r="F66" s="6">
        <v>5.808</v>
      </c>
      <c r="G66" s="7">
        <v>49743.0</v>
      </c>
      <c r="H66" s="6">
        <v>1.6</v>
      </c>
      <c r="I66" s="10">
        <v>0.026487727272727274</v>
      </c>
    </row>
    <row r="67">
      <c r="A67" s="6">
        <v>1.0</v>
      </c>
      <c r="B67" s="6" t="s">
        <v>30</v>
      </c>
      <c r="C67" s="6" t="s">
        <v>15</v>
      </c>
      <c r="D67" s="7">
        <v>1.0</v>
      </c>
      <c r="E67" s="6" t="s">
        <v>16</v>
      </c>
      <c r="F67" s="6">
        <v>5.945</v>
      </c>
      <c r="G67" s="7">
        <v>2252356.0</v>
      </c>
      <c r="H67" s="6">
        <v>72.46</v>
      </c>
      <c r="I67" s="10">
        <v>1.0276754545454545</v>
      </c>
    </row>
    <row r="68">
      <c r="A68" s="6">
        <v>1.0</v>
      </c>
      <c r="B68" s="6" t="s">
        <v>30</v>
      </c>
      <c r="C68" s="6" t="s">
        <v>17</v>
      </c>
      <c r="D68" s="7">
        <v>2.0</v>
      </c>
      <c r="E68" s="6" t="s">
        <v>18</v>
      </c>
      <c r="F68" s="6">
        <v>6.489</v>
      </c>
      <c r="G68" s="7">
        <v>402395.0</v>
      </c>
      <c r="H68" s="6">
        <v>12.95</v>
      </c>
      <c r="I68" s="10">
        <v>0.1867840909090909</v>
      </c>
    </row>
    <row r="69">
      <c r="A69" s="6">
        <v>1.0</v>
      </c>
      <c r="B69" s="6" t="s">
        <v>30</v>
      </c>
      <c r="C69" s="6"/>
      <c r="D69" s="7">
        <v>2.0</v>
      </c>
      <c r="E69" s="6" t="s">
        <v>19</v>
      </c>
      <c r="F69" s="6">
        <v>6.624</v>
      </c>
      <c r="G69" s="7">
        <v>21704.0</v>
      </c>
      <c r="H69" s="6">
        <v>0.7</v>
      </c>
      <c r="I69" s="10">
        <v>0.013742727272727273</v>
      </c>
    </row>
    <row r="70">
      <c r="A70" s="6">
        <v>1.0</v>
      </c>
      <c r="B70" s="6" t="s">
        <v>30</v>
      </c>
      <c r="C70" s="6"/>
      <c r="D70" s="7">
        <v>2.0</v>
      </c>
      <c r="E70" s="6" t="s">
        <v>22</v>
      </c>
      <c r="F70" s="6">
        <v>6.711</v>
      </c>
      <c r="G70" s="7">
        <v>9947.0</v>
      </c>
      <c r="H70" s="6">
        <v>0.32</v>
      </c>
      <c r="I70" s="10">
        <v>0.008398636363636363</v>
      </c>
    </row>
    <row r="71">
      <c r="A71" s="6">
        <v>1.0</v>
      </c>
      <c r="B71" s="6" t="s">
        <v>30</v>
      </c>
      <c r="C71" s="6"/>
      <c r="D71" s="7">
        <v>3.0</v>
      </c>
      <c r="E71" s="6" t="s">
        <v>20</v>
      </c>
      <c r="F71" s="6">
        <v>7.105</v>
      </c>
      <c r="G71" s="7">
        <v>16567.0</v>
      </c>
      <c r="H71" s="6">
        <v>0.53</v>
      </c>
      <c r="I71" s="10">
        <v>0.011407727272727273</v>
      </c>
    </row>
    <row r="72">
      <c r="A72" s="6">
        <v>1.0</v>
      </c>
      <c r="B72" s="6" t="s">
        <v>31</v>
      </c>
      <c r="C72" s="6" t="s">
        <v>10</v>
      </c>
      <c r="D72" s="7">
        <v>0.0</v>
      </c>
      <c r="E72" s="6" t="s">
        <v>11</v>
      </c>
      <c r="F72" s="6">
        <v>4.763</v>
      </c>
      <c r="G72" s="7">
        <v>323256.0</v>
      </c>
      <c r="H72" s="6">
        <v>10.46</v>
      </c>
      <c r="I72" s="10">
        <v>0.15081181818181819</v>
      </c>
    </row>
    <row r="73">
      <c r="A73" s="6">
        <v>1.0</v>
      </c>
      <c r="B73" s="6" t="s">
        <v>31</v>
      </c>
      <c r="C73" s="6" t="s">
        <v>13</v>
      </c>
      <c r="D73" s="7">
        <v>1.0</v>
      </c>
      <c r="E73" s="6" t="s">
        <v>14</v>
      </c>
      <c r="F73" s="6">
        <v>5.802</v>
      </c>
      <c r="G73" s="7">
        <v>48127.0</v>
      </c>
      <c r="H73" s="6">
        <v>1.56</v>
      </c>
      <c r="I73" s="10">
        <v>0.025753181818181817</v>
      </c>
    </row>
    <row r="74">
      <c r="A74" s="6">
        <v>1.0</v>
      </c>
      <c r="B74" s="6" t="s">
        <v>31</v>
      </c>
      <c r="C74" s="6" t="s">
        <v>15</v>
      </c>
      <c r="D74" s="7">
        <v>1.0</v>
      </c>
      <c r="E74" s="6" t="s">
        <v>16</v>
      </c>
      <c r="F74" s="6">
        <v>5.939</v>
      </c>
      <c r="G74" s="7">
        <v>2226242.0</v>
      </c>
      <c r="H74" s="6">
        <v>72.03</v>
      </c>
      <c r="I74" s="10">
        <v>1.0158054545454545</v>
      </c>
    </row>
    <row r="75">
      <c r="A75" s="6">
        <v>1.0</v>
      </c>
      <c r="B75" s="6" t="s">
        <v>31</v>
      </c>
      <c r="C75" s="6" t="s">
        <v>17</v>
      </c>
      <c r="D75" s="7">
        <v>2.0</v>
      </c>
      <c r="E75" s="6" t="s">
        <v>18</v>
      </c>
      <c r="F75" s="6">
        <v>6.486</v>
      </c>
      <c r="G75" s="7">
        <v>399164.0</v>
      </c>
      <c r="H75" s="6">
        <v>12.92</v>
      </c>
      <c r="I75" s="10">
        <v>0.18531545454545453</v>
      </c>
    </row>
    <row r="76">
      <c r="A76" s="6">
        <v>1.0</v>
      </c>
      <c r="B76" s="6" t="s">
        <v>31</v>
      </c>
      <c r="C76" s="6"/>
      <c r="D76" s="7">
        <v>2.0</v>
      </c>
      <c r="E76" s="6" t="s">
        <v>19</v>
      </c>
      <c r="F76" s="6">
        <v>6.619</v>
      </c>
      <c r="G76" s="7">
        <v>24906.0</v>
      </c>
      <c r="H76" s="6">
        <v>0.81</v>
      </c>
      <c r="I76" s="10">
        <v>0.015198181818181819</v>
      </c>
    </row>
    <row r="77">
      <c r="A77" s="6">
        <v>1.0</v>
      </c>
      <c r="B77" s="6" t="s">
        <v>31</v>
      </c>
      <c r="C77" s="6"/>
      <c r="D77" s="7">
        <v>2.0</v>
      </c>
      <c r="E77" s="6" t="s">
        <v>22</v>
      </c>
      <c r="F77" s="6">
        <v>6.704</v>
      </c>
      <c r="G77" s="7">
        <v>11361.0</v>
      </c>
      <c r="H77" s="6">
        <v>0.37</v>
      </c>
      <c r="I77" s="10">
        <v>0.009041363636363636</v>
      </c>
    </row>
    <row r="78">
      <c r="A78" s="6">
        <v>1.0</v>
      </c>
      <c r="B78" s="6" t="s">
        <v>31</v>
      </c>
      <c r="C78" s="6"/>
      <c r="D78" s="7">
        <v>3.0</v>
      </c>
      <c r="E78" s="6" t="s">
        <v>20</v>
      </c>
      <c r="F78" s="6">
        <v>7.104</v>
      </c>
      <c r="G78" s="7">
        <v>17294.0</v>
      </c>
      <c r="H78" s="6">
        <v>0.56</v>
      </c>
      <c r="I78" s="10">
        <v>0.011738181818181818</v>
      </c>
    </row>
    <row r="79">
      <c r="A79" s="6">
        <v>1.0</v>
      </c>
      <c r="B79" s="6" t="s">
        <v>32</v>
      </c>
      <c r="C79" s="6" t="s">
        <v>10</v>
      </c>
      <c r="D79" s="7">
        <v>0.0</v>
      </c>
      <c r="E79" s="6" t="s">
        <v>11</v>
      </c>
      <c r="F79" s="6">
        <v>4.776</v>
      </c>
      <c r="G79" s="7">
        <v>313346.0</v>
      </c>
      <c r="H79" s="6">
        <v>10.35</v>
      </c>
      <c r="I79" s="10">
        <v>0.14630727272727273</v>
      </c>
    </row>
    <row r="80">
      <c r="A80" s="6">
        <v>1.0</v>
      </c>
      <c r="B80" s="6" t="s">
        <v>32</v>
      </c>
      <c r="C80" s="6" t="s">
        <v>13</v>
      </c>
      <c r="D80" s="7">
        <v>1.0</v>
      </c>
      <c r="E80" s="6" t="s">
        <v>14</v>
      </c>
      <c r="F80" s="6">
        <v>5.807</v>
      </c>
      <c r="G80" s="7">
        <v>48077.0</v>
      </c>
      <c r="H80" s="6">
        <v>1.59</v>
      </c>
      <c r="I80" s="10">
        <v>0.025730454545454546</v>
      </c>
    </row>
    <row r="81">
      <c r="A81" s="6">
        <v>1.0</v>
      </c>
      <c r="B81" s="6" t="s">
        <v>32</v>
      </c>
      <c r="C81" s="6" t="s">
        <v>15</v>
      </c>
      <c r="D81" s="7">
        <v>1.0</v>
      </c>
      <c r="E81" s="6" t="s">
        <v>16</v>
      </c>
      <c r="F81" s="6">
        <v>5.943</v>
      </c>
      <c r="G81" s="7">
        <v>2171641.0</v>
      </c>
      <c r="H81" s="6">
        <v>71.73</v>
      </c>
      <c r="I81" s="10">
        <v>0.9909868181818182</v>
      </c>
    </row>
    <row r="82">
      <c r="A82" s="6">
        <v>1.0</v>
      </c>
      <c r="B82" s="6" t="s">
        <v>32</v>
      </c>
      <c r="C82" s="6"/>
      <c r="D82" s="7">
        <v>1.0</v>
      </c>
      <c r="E82" s="6" t="s">
        <v>33</v>
      </c>
      <c r="F82" s="6">
        <v>6.14</v>
      </c>
      <c r="G82" s="7">
        <v>11607.0</v>
      </c>
      <c r="H82" s="6">
        <v>0.38</v>
      </c>
      <c r="I82" s="10">
        <v>0.009153181818181819</v>
      </c>
    </row>
    <row r="83">
      <c r="A83" s="6">
        <v>1.0</v>
      </c>
      <c r="B83" s="6" t="s">
        <v>32</v>
      </c>
      <c r="C83" s="6" t="s">
        <v>17</v>
      </c>
      <c r="D83" s="7">
        <v>2.0</v>
      </c>
      <c r="E83" s="6" t="s">
        <v>18</v>
      </c>
      <c r="F83" s="6">
        <v>6.487</v>
      </c>
      <c r="G83" s="7">
        <v>389659.0</v>
      </c>
      <c r="H83" s="6">
        <v>12.87</v>
      </c>
      <c r="I83" s="10">
        <v>0.180995</v>
      </c>
    </row>
    <row r="84">
      <c r="A84" s="6">
        <v>1.0</v>
      </c>
      <c r="B84" s="6" t="s">
        <v>32</v>
      </c>
      <c r="C84" s="6"/>
      <c r="D84" s="7">
        <v>2.0</v>
      </c>
      <c r="E84" s="6" t="s">
        <v>19</v>
      </c>
      <c r="F84" s="6">
        <v>6.623</v>
      </c>
      <c r="G84" s="7">
        <v>23081.0</v>
      </c>
      <c r="H84" s="6">
        <v>0.76</v>
      </c>
      <c r="I84" s="10">
        <v>0.014368636363636363</v>
      </c>
    </row>
    <row r="85">
      <c r="A85" s="6">
        <v>1.0</v>
      </c>
      <c r="B85" s="6" t="s">
        <v>32</v>
      </c>
      <c r="C85" s="6"/>
      <c r="D85" s="7">
        <v>2.0</v>
      </c>
      <c r="E85" s="6" t="s">
        <v>22</v>
      </c>
      <c r="F85" s="6">
        <v>6.71</v>
      </c>
      <c r="G85" s="7">
        <v>10724.0</v>
      </c>
      <c r="H85" s="6">
        <v>0.35</v>
      </c>
      <c r="I85" s="10">
        <v>0.008751818181818182</v>
      </c>
    </row>
    <row r="86">
      <c r="A86" s="6">
        <v>1.0</v>
      </c>
      <c r="B86" s="6" t="s">
        <v>32</v>
      </c>
      <c r="C86" s="6"/>
      <c r="D86" s="7">
        <v>3.0</v>
      </c>
      <c r="E86" s="6" t="s">
        <v>20</v>
      </c>
      <c r="F86" s="6">
        <v>7.105</v>
      </c>
      <c r="G86" s="7">
        <v>17078.0</v>
      </c>
      <c r="H86" s="6">
        <v>0.56</v>
      </c>
      <c r="I86" s="10">
        <v>0.01164</v>
      </c>
    </row>
    <row r="87">
      <c r="A87" s="6">
        <v>1.0</v>
      </c>
      <c r="B87" s="6" t="s">
        <v>34</v>
      </c>
      <c r="C87" s="6" t="s">
        <v>10</v>
      </c>
      <c r="D87" s="7">
        <v>0.0</v>
      </c>
      <c r="E87" s="6" t="s">
        <v>11</v>
      </c>
      <c r="F87" s="6">
        <v>4.775</v>
      </c>
      <c r="G87" s="7">
        <v>284522.0</v>
      </c>
      <c r="H87" s="6">
        <v>10.38</v>
      </c>
      <c r="I87" s="10">
        <v>0.13320545454545454</v>
      </c>
    </row>
    <row r="88">
      <c r="A88" s="6">
        <v>1.0</v>
      </c>
      <c r="B88" s="6" t="s">
        <v>34</v>
      </c>
      <c r="C88" s="6" t="s">
        <v>13</v>
      </c>
      <c r="D88" s="7">
        <v>1.0</v>
      </c>
      <c r="E88" s="6" t="s">
        <v>14</v>
      </c>
      <c r="F88" s="6">
        <v>5.806</v>
      </c>
      <c r="G88" s="7">
        <v>43105.0</v>
      </c>
      <c r="H88" s="6">
        <v>1.57</v>
      </c>
      <c r="I88" s="10">
        <v>0.023470454545454544</v>
      </c>
    </row>
    <row r="89">
      <c r="A89" s="6">
        <v>1.0</v>
      </c>
      <c r="B89" s="6" t="s">
        <v>34</v>
      </c>
      <c r="C89" s="6" t="s">
        <v>15</v>
      </c>
      <c r="D89" s="7">
        <v>1.0</v>
      </c>
      <c r="E89" s="6" t="s">
        <v>16</v>
      </c>
      <c r="F89" s="6">
        <v>5.94</v>
      </c>
      <c r="G89" s="7">
        <v>1965927.0</v>
      </c>
      <c r="H89" s="6">
        <v>71.69</v>
      </c>
      <c r="I89" s="10">
        <v>0.8974804545454546</v>
      </c>
    </row>
    <row r="90">
      <c r="A90" s="6">
        <v>1.0</v>
      </c>
      <c r="B90" s="6" t="s">
        <v>34</v>
      </c>
      <c r="C90" s="6"/>
      <c r="D90" s="7">
        <v>1.0</v>
      </c>
      <c r="E90" s="6" t="s">
        <v>33</v>
      </c>
      <c r="F90" s="6">
        <v>6.14</v>
      </c>
      <c r="G90" s="7">
        <v>10697.0</v>
      </c>
      <c r="H90" s="6">
        <v>0.39</v>
      </c>
      <c r="I90" s="10">
        <v>0.008739545454545455</v>
      </c>
    </row>
    <row r="91">
      <c r="A91" s="6">
        <v>1.0</v>
      </c>
      <c r="B91" s="6" t="s">
        <v>34</v>
      </c>
      <c r="C91" s="6" t="s">
        <v>17</v>
      </c>
      <c r="D91" s="7">
        <v>2.0</v>
      </c>
      <c r="E91" s="6" t="s">
        <v>18</v>
      </c>
      <c r="F91" s="6">
        <v>6.485</v>
      </c>
      <c r="G91" s="7">
        <v>352580.0</v>
      </c>
      <c r="H91" s="6">
        <v>12.86</v>
      </c>
      <c r="I91" s="10">
        <v>0.1641409090909091</v>
      </c>
    </row>
    <row r="92">
      <c r="A92" s="6">
        <v>1.0</v>
      </c>
      <c r="B92" s="6" t="s">
        <v>34</v>
      </c>
      <c r="C92" s="6"/>
      <c r="D92" s="7">
        <v>2.0</v>
      </c>
      <c r="E92" s="6" t="s">
        <v>19</v>
      </c>
      <c r="F92" s="6">
        <v>6.622</v>
      </c>
      <c r="G92" s="7">
        <v>20570.0</v>
      </c>
      <c r="H92" s="6">
        <v>0.75</v>
      </c>
      <c r="I92" s="10">
        <v>0.013227272727272728</v>
      </c>
    </row>
    <row r="93">
      <c r="A93" s="6">
        <v>1.0</v>
      </c>
      <c r="B93" s="6" t="s">
        <v>34</v>
      </c>
      <c r="C93" s="6"/>
      <c r="D93" s="7">
        <v>2.0</v>
      </c>
      <c r="E93" s="6" t="s">
        <v>22</v>
      </c>
      <c r="F93" s="6">
        <v>6.707</v>
      </c>
      <c r="G93" s="7">
        <v>10060.0</v>
      </c>
      <c r="H93" s="6">
        <v>0.37</v>
      </c>
      <c r="I93" s="10">
        <v>0.00845</v>
      </c>
    </row>
    <row r="94">
      <c r="A94" s="6">
        <v>1.0</v>
      </c>
      <c r="B94" s="6" t="s">
        <v>34</v>
      </c>
      <c r="C94" s="6"/>
      <c r="D94" s="7">
        <v>3.0</v>
      </c>
      <c r="E94" s="6" t="s">
        <v>20</v>
      </c>
      <c r="F94" s="6">
        <v>7.102</v>
      </c>
      <c r="G94" s="7">
        <v>15206.0</v>
      </c>
      <c r="H94" s="6">
        <v>0.55</v>
      </c>
      <c r="I94" s="10">
        <v>0.01078909090909091</v>
      </c>
    </row>
    <row r="95">
      <c r="A95" s="6">
        <v>1.0</v>
      </c>
      <c r="B95" s="6" t="s">
        <v>35</v>
      </c>
      <c r="C95" s="6" t="s">
        <v>10</v>
      </c>
      <c r="D95" s="7">
        <v>0.0</v>
      </c>
      <c r="E95" s="6" t="s">
        <v>14</v>
      </c>
      <c r="F95" s="8">
        <v>4.755</v>
      </c>
      <c r="G95" s="7">
        <v>308680.0</v>
      </c>
      <c r="H95" s="9">
        <v>10.03</v>
      </c>
      <c r="I95" s="10">
        <v>0.14418636363636364</v>
      </c>
    </row>
    <row r="96">
      <c r="A96" s="6">
        <v>1.0</v>
      </c>
      <c r="B96" s="6" t="s">
        <v>35</v>
      </c>
      <c r="C96" s="6" t="s">
        <v>13</v>
      </c>
      <c r="D96" s="7">
        <v>1.0</v>
      </c>
      <c r="E96" s="6" t="s">
        <v>14</v>
      </c>
      <c r="F96" s="8">
        <v>5.804</v>
      </c>
      <c r="G96" s="7">
        <v>49510.0</v>
      </c>
      <c r="H96" s="9">
        <v>1.61</v>
      </c>
      <c r="I96" s="10">
        <v>0.026381818181818183</v>
      </c>
    </row>
    <row r="97">
      <c r="A97" s="6">
        <v>1.0</v>
      </c>
      <c r="B97" s="6" t="s">
        <v>35</v>
      </c>
      <c r="C97" s="6" t="s">
        <v>15</v>
      </c>
      <c r="D97" s="7">
        <v>1.0</v>
      </c>
      <c r="E97" s="6" t="s">
        <v>16</v>
      </c>
      <c r="F97" s="8">
        <v>5.939</v>
      </c>
      <c r="G97" s="7">
        <v>2199676.0</v>
      </c>
      <c r="H97" s="9">
        <v>71.5</v>
      </c>
      <c r="I97" s="10">
        <v>1.00373</v>
      </c>
    </row>
    <row r="98">
      <c r="A98" s="6">
        <v>1.0</v>
      </c>
      <c r="B98" s="6" t="s">
        <v>35</v>
      </c>
      <c r="C98" s="6" t="s">
        <v>17</v>
      </c>
      <c r="D98" s="7">
        <v>2.0</v>
      </c>
      <c r="E98" s="6" t="s">
        <v>18</v>
      </c>
      <c r="F98" s="8">
        <v>6.483</v>
      </c>
      <c r="G98" s="7">
        <v>396057.0</v>
      </c>
      <c r="H98" s="9">
        <v>12.87</v>
      </c>
      <c r="I98" s="10">
        <v>0.18390318181818183</v>
      </c>
    </row>
    <row r="99">
      <c r="A99" s="6">
        <v>1.0</v>
      </c>
      <c r="B99" s="6" t="s">
        <v>35</v>
      </c>
      <c r="C99" s="6"/>
      <c r="D99" s="7">
        <v>2.0</v>
      </c>
      <c r="E99" s="6" t="s">
        <v>19</v>
      </c>
      <c r="F99" s="8">
        <v>6.618</v>
      </c>
      <c r="G99" s="7">
        <v>26393.0</v>
      </c>
      <c r="H99" s="9">
        <v>0.86</v>
      </c>
      <c r="I99" s="10">
        <v>0.01587409090909091</v>
      </c>
    </row>
    <row r="100">
      <c r="A100" s="6">
        <v>1.0</v>
      </c>
      <c r="B100" s="6" t="s">
        <v>35</v>
      </c>
      <c r="C100" s="6"/>
      <c r="D100" s="7">
        <v>2.0</v>
      </c>
      <c r="E100" s="6" t="s">
        <v>22</v>
      </c>
      <c r="F100" s="8">
        <v>6.706</v>
      </c>
      <c r="G100" s="7">
        <v>12501.0</v>
      </c>
      <c r="H100" s="9">
        <v>0.41</v>
      </c>
      <c r="I100" s="10">
        <v>0.009559545454545454</v>
      </c>
    </row>
    <row r="101">
      <c r="A101" s="6">
        <v>1.0</v>
      </c>
      <c r="B101" s="6" t="s">
        <v>35</v>
      </c>
      <c r="C101" s="6"/>
      <c r="D101" s="7">
        <v>3.0</v>
      </c>
      <c r="E101" s="6" t="s">
        <v>20</v>
      </c>
      <c r="F101" s="8">
        <v>7.101</v>
      </c>
      <c r="G101" s="7">
        <v>18658.0</v>
      </c>
      <c r="H101" s="9">
        <v>0.61</v>
      </c>
      <c r="I101" s="10">
        <v>0.012358181818181819</v>
      </c>
    </row>
    <row r="102">
      <c r="A102" s="6">
        <v>1.0</v>
      </c>
      <c r="B102" s="6" t="s">
        <v>36</v>
      </c>
      <c r="C102" s="6" t="s">
        <v>10</v>
      </c>
      <c r="D102" s="7">
        <v>0.0</v>
      </c>
      <c r="E102" s="6" t="s">
        <v>11</v>
      </c>
      <c r="F102" s="8">
        <v>4.776</v>
      </c>
      <c r="G102" s="7">
        <v>323715.0</v>
      </c>
      <c r="H102" s="9">
        <v>9.94</v>
      </c>
      <c r="I102" s="10">
        <v>0.15102045454545454</v>
      </c>
    </row>
    <row r="103">
      <c r="A103" s="6">
        <v>1.0</v>
      </c>
      <c r="B103" s="6" t="s">
        <v>36</v>
      </c>
      <c r="C103" s="6" t="s">
        <v>13</v>
      </c>
      <c r="D103" s="7">
        <v>1.0</v>
      </c>
      <c r="E103" s="6" t="s">
        <v>14</v>
      </c>
      <c r="F103" s="8">
        <v>5.804</v>
      </c>
      <c r="G103" s="7">
        <v>52051.0</v>
      </c>
      <c r="H103" s="9">
        <v>1.6</v>
      </c>
      <c r="I103" s="10">
        <v>0.027536818181818183</v>
      </c>
    </row>
    <row r="104">
      <c r="A104" s="6">
        <v>1.0</v>
      </c>
      <c r="B104" s="6" t="s">
        <v>36</v>
      </c>
      <c r="C104" s="6" t="s">
        <v>15</v>
      </c>
      <c r="D104" s="7">
        <v>1.0</v>
      </c>
      <c r="E104" s="6" t="s">
        <v>16</v>
      </c>
      <c r="F104" s="8">
        <v>5.942</v>
      </c>
      <c r="G104" s="7">
        <v>2309208.0</v>
      </c>
      <c r="H104" s="9">
        <v>70.88</v>
      </c>
      <c r="I104" s="10">
        <v>1.0535172727272728</v>
      </c>
    </row>
    <row r="105">
      <c r="A105" s="6">
        <v>1.0</v>
      </c>
      <c r="B105" s="6" t="s">
        <v>36</v>
      </c>
      <c r="C105" s="6"/>
      <c r="D105" s="7">
        <v>1.0</v>
      </c>
      <c r="E105" s="6" t="s">
        <v>33</v>
      </c>
      <c r="F105" s="8">
        <v>6.14</v>
      </c>
      <c r="G105" s="7">
        <v>16575.0</v>
      </c>
      <c r="H105" s="9">
        <v>0.51</v>
      </c>
      <c r="I105" s="10">
        <v>0.011411363636363636</v>
      </c>
    </row>
    <row r="106">
      <c r="A106" s="6">
        <v>1.0</v>
      </c>
      <c r="B106" s="6" t="s">
        <v>36</v>
      </c>
      <c r="C106" s="6" t="s">
        <v>17</v>
      </c>
      <c r="D106" s="7">
        <v>2.0</v>
      </c>
      <c r="E106" s="6" t="s">
        <v>18</v>
      </c>
      <c r="F106" s="8">
        <v>6.486</v>
      </c>
      <c r="G106" s="7">
        <v>415889.0</v>
      </c>
      <c r="H106" s="9">
        <v>12.76</v>
      </c>
      <c r="I106" s="10">
        <v>0.19291772727272727</v>
      </c>
    </row>
    <row r="107">
      <c r="A107" s="6">
        <v>1.0</v>
      </c>
      <c r="B107" s="6" t="s">
        <v>36</v>
      </c>
      <c r="C107" s="6"/>
      <c r="D107" s="7">
        <v>2.0</v>
      </c>
      <c r="E107" s="6" t="s">
        <v>19</v>
      </c>
      <c r="F107" s="8">
        <v>6.619</v>
      </c>
      <c r="G107" s="7">
        <v>27958.0</v>
      </c>
      <c r="H107" s="9">
        <v>0.86</v>
      </c>
      <c r="I107" s="10">
        <v>0.016585454545454546</v>
      </c>
    </row>
    <row r="108">
      <c r="A108" s="6">
        <v>1.0</v>
      </c>
      <c r="B108" s="6" t="s">
        <v>36</v>
      </c>
      <c r="C108" s="6"/>
      <c r="D108" s="7">
        <v>2.0</v>
      </c>
      <c r="E108" s="6" t="s">
        <v>22</v>
      </c>
      <c r="F108" s="8">
        <v>6.708</v>
      </c>
      <c r="G108" s="7">
        <v>13918.0</v>
      </c>
      <c r="H108" s="9">
        <v>0.43</v>
      </c>
      <c r="I108" s="10">
        <v>0.010203636363636364</v>
      </c>
    </row>
    <row r="109">
      <c r="A109" s="6">
        <v>1.0</v>
      </c>
      <c r="B109" s="6" t="s">
        <v>36</v>
      </c>
      <c r="C109" s="6"/>
      <c r="D109" s="7">
        <v>3.0</v>
      </c>
      <c r="E109" s="6" t="s">
        <v>20</v>
      </c>
      <c r="F109" s="8">
        <v>7.103</v>
      </c>
      <c r="G109" s="7">
        <v>19807.0</v>
      </c>
      <c r="H109" s="9">
        <v>0.61</v>
      </c>
      <c r="I109" s="10">
        <v>0.012880454545454546</v>
      </c>
    </row>
    <row r="110">
      <c r="A110" s="6">
        <v>1.0</v>
      </c>
      <c r="B110" s="6" t="s">
        <v>37</v>
      </c>
      <c r="C110" s="6" t="s">
        <v>10</v>
      </c>
      <c r="D110" s="7">
        <v>0.0</v>
      </c>
      <c r="E110" s="6" t="s">
        <v>16</v>
      </c>
      <c r="F110" s="8">
        <v>4.773</v>
      </c>
      <c r="G110" s="7">
        <v>300380.0</v>
      </c>
      <c r="H110" s="9">
        <v>9.97</v>
      </c>
      <c r="I110" s="10">
        <v>0.14041363636363635</v>
      </c>
    </row>
    <row r="111">
      <c r="A111" s="6">
        <v>1.0</v>
      </c>
      <c r="B111" s="6" t="s">
        <v>37</v>
      </c>
      <c r="C111" s="6" t="s">
        <v>13</v>
      </c>
      <c r="D111" s="7">
        <v>1.0</v>
      </c>
      <c r="E111" s="6" t="s">
        <v>14</v>
      </c>
      <c r="F111" s="8">
        <v>5.813</v>
      </c>
      <c r="G111" s="7">
        <v>47994.0</v>
      </c>
      <c r="H111" s="9">
        <v>1.59</v>
      </c>
      <c r="I111" s="10">
        <v>0.025692727272727273</v>
      </c>
    </row>
    <row r="112">
      <c r="A112" s="6">
        <v>1.0</v>
      </c>
      <c r="B112" s="6" t="s">
        <v>37</v>
      </c>
      <c r="C112" s="6" t="s">
        <v>15</v>
      </c>
      <c r="D112" s="7">
        <v>1.0</v>
      </c>
      <c r="E112" s="6" t="s">
        <v>16</v>
      </c>
      <c r="F112" s="8">
        <v>5.947</v>
      </c>
      <c r="G112" s="7">
        <v>2087941.0</v>
      </c>
      <c r="H112" s="9">
        <v>69.32</v>
      </c>
      <c r="I112" s="10">
        <v>0.9529413636363636</v>
      </c>
    </row>
    <row r="113">
      <c r="A113" s="6">
        <v>1.0</v>
      </c>
      <c r="B113" s="6" t="s">
        <v>37</v>
      </c>
      <c r="C113" s="6"/>
      <c r="D113" s="7">
        <v>1.0</v>
      </c>
      <c r="E113" s="6" t="s">
        <v>33</v>
      </c>
      <c r="F113" s="8">
        <v>6.091</v>
      </c>
      <c r="G113" s="7">
        <v>66231.0</v>
      </c>
      <c r="H113" s="9">
        <v>2.2</v>
      </c>
      <c r="I113" s="10">
        <v>0.03398227272727273</v>
      </c>
    </row>
    <row r="114">
      <c r="A114" s="6">
        <v>1.0</v>
      </c>
      <c r="B114" s="6" t="s">
        <v>37</v>
      </c>
      <c r="C114" s="6" t="s">
        <v>17</v>
      </c>
      <c r="D114" s="7">
        <v>2.0</v>
      </c>
      <c r="E114" s="6" t="s">
        <v>18</v>
      </c>
      <c r="F114" s="8">
        <v>6.487</v>
      </c>
      <c r="G114" s="7">
        <v>387092.0</v>
      </c>
      <c r="H114" s="9">
        <v>12.85</v>
      </c>
      <c r="I114" s="10">
        <v>0.17982818181818183</v>
      </c>
    </row>
    <row r="115">
      <c r="A115" s="6">
        <v>1.0</v>
      </c>
      <c r="B115" s="6" t="s">
        <v>37</v>
      </c>
      <c r="C115" s="6"/>
      <c r="D115" s="7">
        <v>2.0</v>
      </c>
      <c r="E115" s="6" t="s">
        <v>19</v>
      </c>
      <c r="F115" s="8">
        <v>6.621</v>
      </c>
      <c r="G115" s="7">
        <v>22919.0</v>
      </c>
      <c r="H115" s="9">
        <v>0.76</v>
      </c>
      <c r="I115" s="10">
        <v>0.014295</v>
      </c>
    </row>
    <row r="116">
      <c r="A116" s="6">
        <v>1.0</v>
      </c>
      <c r="B116" s="6" t="s">
        <v>37</v>
      </c>
      <c r="C116" s="6"/>
      <c r="D116" s="7">
        <v>2.0</v>
      </c>
      <c r="E116" s="6" t="s">
        <v>22</v>
      </c>
      <c r="F116" s="8">
        <v>6.711</v>
      </c>
      <c r="G116" s="7">
        <v>11768.0</v>
      </c>
      <c r="H116" s="9">
        <v>0.39</v>
      </c>
      <c r="I116" s="10">
        <v>0.009226363636363637</v>
      </c>
    </row>
    <row r="117">
      <c r="A117" s="6">
        <v>1.0</v>
      </c>
      <c r="B117" s="6" t="s">
        <v>37</v>
      </c>
      <c r="C117" s="6"/>
      <c r="D117" s="7">
        <v>3.0</v>
      </c>
      <c r="E117" s="6" t="s">
        <v>20</v>
      </c>
      <c r="F117" s="8">
        <v>7.098</v>
      </c>
      <c r="G117" s="7">
        <v>18079.0</v>
      </c>
      <c r="H117" s="9">
        <v>0.6</v>
      </c>
      <c r="I117" s="10">
        <v>0.012095</v>
      </c>
    </row>
    <row r="118">
      <c r="A118" s="6">
        <v>1.0</v>
      </c>
      <c r="B118" s="6" t="s">
        <v>38</v>
      </c>
      <c r="C118" s="6" t="s">
        <v>10</v>
      </c>
      <c r="D118" s="7">
        <v>0.0</v>
      </c>
      <c r="E118" s="6" t="s">
        <v>11</v>
      </c>
      <c r="F118" s="8">
        <v>4.785</v>
      </c>
      <c r="G118" s="7">
        <v>298794.0</v>
      </c>
      <c r="H118" s="9">
        <v>9.41</v>
      </c>
      <c r="I118" s="10">
        <v>0.13969272727272727</v>
      </c>
    </row>
    <row r="119">
      <c r="A119" s="6">
        <v>1.0</v>
      </c>
      <c r="B119" s="6" t="s">
        <v>38</v>
      </c>
      <c r="C119" s="6" t="s">
        <v>13</v>
      </c>
      <c r="D119" s="7">
        <v>1.0</v>
      </c>
      <c r="E119" s="6" t="s">
        <v>14</v>
      </c>
      <c r="F119" s="8">
        <v>5.813</v>
      </c>
      <c r="G119" s="7">
        <v>52849.0</v>
      </c>
      <c r="H119" s="9">
        <v>1.66</v>
      </c>
      <c r="I119" s="10">
        <v>0.027899545454545455</v>
      </c>
    </row>
    <row r="120">
      <c r="A120" s="6">
        <v>1.0</v>
      </c>
      <c r="B120" s="6" t="s">
        <v>38</v>
      </c>
      <c r="C120" s="6" t="s">
        <v>15</v>
      </c>
      <c r="D120" s="7">
        <v>1.0</v>
      </c>
      <c r="E120" s="6" t="s">
        <v>16</v>
      </c>
      <c r="F120" s="8">
        <v>5.95</v>
      </c>
      <c r="G120" s="7">
        <v>2144033.0</v>
      </c>
      <c r="H120" s="9">
        <v>67.5</v>
      </c>
      <c r="I120" s="10">
        <v>0.9784377272727273</v>
      </c>
    </row>
    <row r="121">
      <c r="A121" s="6">
        <v>1.0</v>
      </c>
      <c r="B121" s="6" t="s">
        <v>38</v>
      </c>
      <c r="C121" s="6"/>
      <c r="D121" s="7">
        <v>1.0</v>
      </c>
      <c r="E121" s="6" t="s">
        <v>33</v>
      </c>
      <c r="F121" s="8">
        <v>6.095</v>
      </c>
      <c r="G121" s="7">
        <v>108670.0</v>
      </c>
      <c r="H121" s="9">
        <v>3.42</v>
      </c>
      <c r="I121" s="10">
        <v>0.05327272727272727</v>
      </c>
    </row>
    <row r="122">
      <c r="A122" s="6">
        <v>1.0</v>
      </c>
      <c r="B122" s="6" t="s">
        <v>38</v>
      </c>
      <c r="C122" s="6" t="s">
        <v>17</v>
      </c>
      <c r="D122" s="7">
        <v>2.0</v>
      </c>
      <c r="E122" s="6" t="s">
        <v>18</v>
      </c>
      <c r="F122" s="8">
        <v>6.489</v>
      </c>
      <c r="G122" s="7">
        <v>400606.0</v>
      </c>
      <c r="H122" s="9">
        <v>12.61</v>
      </c>
      <c r="I122" s="10">
        <v>0.1859709090909091</v>
      </c>
    </row>
    <row r="123">
      <c r="A123" s="6">
        <v>1.0</v>
      </c>
      <c r="B123" s="6" t="s">
        <v>38</v>
      </c>
      <c r="C123" s="6"/>
      <c r="D123" s="7">
        <v>2.0</v>
      </c>
      <c r="E123" s="6" t="s">
        <v>19</v>
      </c>
      <c r="F123" s="8">
        <v>6.62</v>
      </c>
      <c r="G123" s="7">
        <v>37232.0</v>
      </c>
      <c r="H123" s="9">
        <v>1.17</v>
      </c>
      <c r="I123" s="10">
        <v>0.020800909090909092</v>
      </c>
    </row>
    <row r="124">
      <c r="A124" s="6">
        <v>1.0</v>
      </c>
      <c r="B124" s="6" t="s">
        <v>38</v>
      </c>
      <c r="C124" s="6"/>
      <c r="D124" s="7">
        <v>2.0</v>
      </c>
      <c r="E124" s="6" t="s">
        <v>22</v>
      </c>
      <c r="F124" s="8">
        <v>6.71</v>
      </c>
      <c r="G124" s="7">
        <v>16382.0</v>
      </c>
      <c r="H124" s="9">
        <v>0.52</v>
      </c>
      <c r="I124" s="10">
        <v>0.011323636363636364</v>
      </c>
    </row>
    <row r="125">
      <c r="A125" s="6">
        <v>1.0</v>
      </c>
      <c r="B125" s="6" t="s">
        <v>38</v>
      </c>
      <c r="C125" s="6"/>
      <c r="D125" s="7">
        <v>3.0</v>
      </c>
      <c r="E125" s="6" t="s">
        <v>20</v>
      </c>
      <c r="F125" s="8">
        <v>7.097</v>
      </c>
      <c r="G125" s="7">
        <v>21306.0</v>
      </c>
      <c r="H125" s="9">
        <v>0.67</v>
      </c>
      <c r="I125" s="10">
        <v>0.013561818181818182</v>
      </c>
    </row>
    <row r="126">
      <c r="A126" s="6">
        <v>1.5</v>
      </c>
      <c r="B126" s="6" t="s">
        <v>9</v>
      </c>
      <c r="C126" s="6" t="s">
        <v>10</v>
      </c>
      <c r="D126" s="7">
        <v>0.0</v>
      </c>
      <c r="E126" s="6" t="s">
        <v>11</v>
      </c>
      <c r="F126" s="8">
        <v>4.733</v>
      </c>
      <c r="G126" s="7">
        <v>1204950.0</v>
      </c>
      <c r="H126" s="9">
        <v>98.79</v>
      </c>
      <c r="I126" s="10">
        <v>0.5515818181818182</v>
      </c>
    </row>
    <row r="127">
      <c r="A127" s="6">
        <v>1.5</v>
      </c>
      <c r="B127" s="6" t="s">
        <v>12</v>
      </c>
      <c r="C127" s="6" t="s">
        <v>10</v>
      </c>
      <c r="D127" s="7">
        <v>0.0</v>
      </c>
      <c r="E127" s="6" t="s">
        <v>11</v>
      </c>
      <c r="F127" s="6">
        <v>4.74</v>
      </c>
      <c r="G127" s="7">
        <v>636459.0</v>
      </c>
      <c r="H127" s="9">
        <v>57.59</v>
      </c>
      <c r="I127" s="10">
        <v>0.2931768181818182</v>
      </c>
    </row>
    <row r="128">
      <c r="A128" s="6">
        <v>1.5</v>
      </c>
      <c r="B128" s="6" t="s">
        <v>12</v>
      </c>
      <c r="C128" s="6" t="s">
        <v>13</v>
      </c>
      <c r="D128" s="7">
        <v>1.0</v>
      </c>
      <c r="E128" s="6" t="s">
        <v>14</v>
      </c>
      <c r="F128" s="6">
        <v>5.753</v>
      </c>
      <c r="G128" s="7">
        <v>20666.0</v>
      </c>
      <c r="H128" s="9">
        <v>1.87</v>
      </c>
      <c r="I128" s="10">
        <v>0.01327090909090909</v>
      </c>
    </row>
    <row r="129">
      <c r="A129" s="6">
        <v>1.5</v>
      </c>
      <c r="B129" s="6" t="s">
        <v>12</v>
      </c>
      <c r="C129" s="6" t="s">
        <v>15</v>
      </c>
      <c r="D129" s="7">
        <v>1.0</v>
      </c>
      <c r="E129" s="6" t="s">
        <v>16</v>
      </c>
      <c r="F129" s="6">
        <v>5.871</v>
      </c>
      <c r="G129" s="7">
        <v>415908.0</v>
      </c>
      <c r="H129" s="9">
        <v>37.63</v>
      </c>
      <c r="I129" s="10">
        <v>0.19292636363636365</v>
      </c>
    </row>
    <row r="130">
      <c r="A130" s="6">
        <v>1.5</v>
      </c>
      <c r="B130" s="6" t="s">
        <v>12</v>
      </c>
      <c r="C130" s="6" t="s">
        <v>17</v>
      </c>
      <c r="D130" s="7">
        <v>2.0</v>
      </c>
      <c r="E130" s="6" t="s">
        <v>18</v>
      </c>
      <c r="F130" s="6">
        <v>6.429</v>
      </c>
      <c r="G130" s="7">
        <v>21498.0</v>
      </c>
      <c r="H130" s="9">
        <v>1.95</v>
      </c>
      <c r="I130" s="10">
        <v>0.01364909090909091</v>
      </c>
    </row>
    <row r="131">
      <c r="A131" s="6">
        <v>1.5</v>
      </c>
      <c r="B131" s="6" t="s">
        <v>12</v>
      </c>
      <c r="C131" s="6"/>
      <c r="D131" s="7"/>
      <c r="E131" s="6" t="s">
        <v>22</v>
      </c>
      <c r="F131" s="6">
        <v>6.772</v>
      </c>
      <c r="G131" s="7">
        <v>239.0</v>
      </c>
      <c r="H131" s="9">
        <v>0.02</v>
      </c>
      <c r="I131" s="10">
        <v>0.003985909090909091</v>
      </c>
    </row>
    <row r="132">
      <c r="A132" s="6">
        <v>1.5</v>
      </c>
      <c r="B132" s="6" t="s">
        <v>21</v>
      </c>
      <c r="C132" s="6" t="s">
        <v>10</v>
      </c>
      <c r="D132" s="7">
        <v>0.0</v>
      </c>
      <c r="E132" s="6" t="s">
        <v>11</v>
      </c>
      <c r="F132" s="6">
        <v>4.744</v>
      </c>
      <c r="G132" s="7">
        <v>465682.0</v>
      </c>
      <c r="H132" s="9">
        <v>41.06</v>
      </c>
      <c r="I132" s="10">
        <v>0.2155509090909091</v>
      </c>
    </row>
    <row r="133">
      <c r="A133" s="6">
        <v>1.5</v>
      </c>
      <c r="B133" s="6" t="s">
        <v>21</v>
      </c>
      <c r="C133" s="6" t="s">
        <v>13</v>
      </c>
      <c r="D133" s="7">
        <v>1.0</v>
      </c>
      <c r="E133" s="6" t="s">
        <v>14</v>
      </c>
      <c r="F133" s="6">
        <v>5.751</v>
      </c>
      <c r="G133" s="7">
        <v>24417.0</v>
      </c>
      <c r="H133" s="9">
        <v>2.15</v>
      </c>
      <c r="I133" s="10">
        <v>0.01497590909090909</v>
      </c>
    </row>
    <row r="134">
      <c r="A134" s="6">
        <v>1.5</v>
      </c>
      <c r="B134" s="6" t="s">
        <v>21</v>
      </c>
      <c r="C134" s="6" t="s">
        <v>15</v>
      </c>
      <c r="D134" s="7">
        <v>1.0</v>
      </c>
      <c r="E134" s="6" t="s">
        <v>16</v>
      </c>
      <c r="F134" s="6">
        <v>5.873</v>
      </c>
      <c r="G134" s="7">
        <v>586392.0</v>
      </c>
      <c r="H134" s="9">
        <v>51.7</v>
      </c>
      <c r="I134" s="10">
        <v>0.2704190909090909</v>
      </c>
    </row>
    <row r="135">
      <c r="A135" s="6">
        <v>1.5</v>
      </c>
      <c r="B135" s="6" t="s">
        <v>21</v>
      </c>
      <c r="C135" s="6" t="s">
        <v>17</v>
      </c>
      <c r="D135" s="7">
        <v>2.0</v>
      </c>
      <c r="E135" s="6" t="s">
        <v>18</v>
      </c>
      <c r="F135" s="6">
        <v>6.428</v>
      </c>
      <c r="G135" s="7">
        <v>46231.0</v>
      </c>
      <c r="H135" s="9">
        <v>4.08</v>
      </c>
      <c r="I135" s="10">
        <v>0.024891363636363635</v>
      </c>
    </row>
    <row r="136">
      <c r="A136" s="6">
        <v>1.5</v>
      </c>
      <c r="B136" s="6" t="s">
        <v>21</v>
      </c>
      <c r="C136" s="6"/>
      <c r="D136" s="7">
        <v>2.0</v>
      </c>
      <c r="E136" s="6" t="s">
        <v>19</v>
      </c>
      <c r="F136" s="6">
        <v>6.659</v>
      </c>
      <c r="G136" s="7">
        <v>1595.0</v>
      </c>
      <c r="H136" s="9">
        <v>0.14</v>
      </c>
      <c r="I136" s="10">
        <v>0.004602272727272727</v>
      </c>
    </row>
    <row r="137">
      <c r="A137" s="6">
        <v>1.5</v>
      </c>
      <c r="B137" s="6" t="s">
        <v>23</v>
      </c>
      <c r="C137" s="6" t="s">
        <v>10</v>
      </c>
      <c r="D137" s="7">
        <v>0.0</v>
      </c>
      <c r="E137" s="6" t="s">
        <v>11</v>
      </c>
      <c r="F137" s="6">
        <v>4.741</v>
      </c>
      <c r="G137" s="7">
        <v>384922.0</v>
      </c>
      <c r="H137" s="9">
        <v>34.18</v>
      </c>
      <c r="I137" s="10">
        <v>0.17884181818181819</v>
      </c>
    </row>
    <row r="138">
      <c r="A138" s="6">
        <v>1.5</v>
      </c>
      <c r="B138" s="6" t="s">
        <v>23</v>
      </c>
      <c r="C138" s="6" t="s">
        <v>13</v>
      </c>
      <c r="D138" s="7">
        <v>1.0</v>
      </c>
      <c r="E138" s="6" t="s">
        <v>14</v>
      </c>
      <c r="F138" s="6">
        <v>5.751</v>
      </c>
      <c r="G138" s="7">
        <v>23685.0</v>
      </c>
      <c r="H138" s="9">
        <v>2.1</v>
      </c>
      <c r="I138" s="10">
        <v>0.014643181818181817</v>
      </c>
    </row>
    <row r="139">
      <c r="A139" s="6">
        <v>1.5</v>
      </c>
      <c r="B139" s="6" t="s">
        <v>23</v>
      </c>
      <c r="C139" s="6" t="s">
        <v>15</v>
      </c>
      <c r="D139" s="7">
        <v>1.0</v>
      </c>
      <c r="E139" s="6" t="s">
        <v>16</v>
      </c>
      <c r="F139" s="6">
        <v>5.874</v>
      </c>
      <c r="G139" s="7">
        <v>639656.0</v>
      </c>
      <c r="H139" s="9">
        <v>56.8</v>
      </c>
      <c r="I139" s="10">
        <v>0.29463</v>
      </c>
    </row>
    <row r="140">
      <c r="A140" s="6">
        <v>1.5</v>
      </c>
      <c r="B140" s="6" t="s">
        <v>23</v>
      </c>
      <c r="C140" s="6" t="s">
        <v>17</v>
      </c>
      <c r="D140" s="7">
        <v>2.0</v>
      </c>
      <c r="E140" s="6" t="s">
        <v>18</v>
      </c>
      <c r="F140" s="6">
        <v>6.428</v>
      </c>
      <c r="G140" s="7">
        <v>62730.0</v>
      </c>
      <c r="H140" s="9">
        <v>5.57</v>
      </c>
      <c r="I140" s="10">
        <v>0.03239090909090909</v>
      </c>
    </row>
    <row r="141">
      <c r="A141" s="6">
        <v>1.5</v>
      </c>
      <c r="B141" s="6" t="s">
        <v>23</v>
      </c>
      <c r="C141" s="6"/>
      <c r="D141" s="7">
        <v>2.0</v>
      </c>
      <c r="E141" s="6" t="s">
        <v>19</v>
      </c>
      <c r="F141" s="6">
        <v>6.658</v>
      </c>
      <c r="G141" s="7">
        <v>2477.0</v>
      </c>
      <c r="H141" s="9">
        <v>0.22</v>
      </c>
      <c r="I141" s="10">
        <v>0.005003181818181818</v>
      </c>
    </row>
    <row r="142">
      <c r="A142" s="6">
        <v>1.5</v>
      </c>
      <c r="B142" s="6" t="s">
        <v>23</v>
      </c>
      <c r="C142" s="6"/>
      <c r="D142" s="7"/>
      <c r="E142" s="6" t="s">
        <v>20</v>
      </c>
      <c r="F142" s="6">
        <v>7.157</v>
      </c>
      <c r="G142" s="7">
        <v>1556.0</v>
      </c>
      <c r="H142" s="9">
        <v>0.14</v>
      </c>
      <c r="I142" s="10">
        <v>0.004584545454545455</v>
      </c>
    </row>
    <row r="143">
      <c r="A143" s="6">
        <v>1.5</v>
      </c>
      <c r="B143" s="6" t="s">
        <v>24</v>
      </c>
      <c r="C143" s="6" t="s">
        <v>10</v>
      </c>
      <c r="D143" s="7">
        <v>0.0</v>
      </c>
      <c r="E143" s="6" t="s">
        <v>11</v>
      </c>
      <c r="F143" s="6">
        <v>4.744</v>
      </c>
      <c r="G143" s="7">
        <v>331698.0</v>
      </c>
      <c r="H143" s="9">
        <v>29.51</v>
      </c>
      <c r="I143" s="10">
        <v>0.1546490909090909</v>
      </c>
    </row>
    <row r="144">
      <c r="A144" s="6">
        <v>1.5</v>
      </c>
      <c r="B144" s="6" t="s">
        <v>24</v>
      </c>
      <c r="C144" s="6" t="s">
        <v>13</v>
      </c>
      <c r="D144" s="7">
        <v>1.0</v>
      </c>
      <c r="E144" s="6" t="s">
        <v>14</v>
      </c>
      <c r="F144" s="8">
        <v>5.752</v>
      </c>
      <c r="G144" s="7">
        <v>22919.0</v>
      </c>
      <c r="H144" s="9">
        <v>2.04</v>
      </c>
      <c r="I144" s="10">
        <v>0.014295</v>
      </c>
    </row>
    <row r="145">
      <c r="A145" s="6">
        <v>1.5</v>
      </c>
      <c r="B145" s="6" t="s">
        <v>24</v>
      </c>
      <c r="C145" s="6" t="s">
        <v>15</v>
      </c>
      <c r="D145" s="7">
        <v>1.0</v>
      </c>
      <c r="E145" s="6" t="s">
        <v>16</v>
      </c>
      <c r="F145" s="8">
        <v>5.875</v>
      </c>
      <c r="G145" s="7">
        <v>678601.0</v>
      </c>
      <c r="H145" s="9">
        <v>60.36</v>
      </c>
      <c r="I145" s="10">
        <v>0.3123322727272727</v>
      </c>
    </row>
    <row r="146">
      <c r="A146" s="6">
        <v>1.5</v>
      </c>
      <c r="B146" s="6" t="s">
        <v>24</v>
      </c>
      <c r="C146" s="6" t="s">
        <v>17</v>
      </c>
      <c r="D146" s="7">
        <v>2.0</v>
      </c>
      <c r="E146" s="6" t="s">
        <v>18</v>
      </c>
      <c r="F146" s="8">
        <v>6.429</v>
      </c>
      <c r="G146" s="7">
        <v>73854.0</v>
      </c>
      <c r="H146" s="9">
        <v>6.57</v>
      </c>
      <c r="I146" s="10">
        <v>0.037447272727272725</v>
      </c>
    </row>
    <row r="147">
      <c r="A147" s="6">
        <v>1.5</v>
      </c>
      <c r="B147" s="6" t="s">
        <v>24</v>
      </c>
      <c r="C147" s="6"/>
      <c r="D147" s="7">
        <v>2.0</v>
      </c>
      <c r="E147" s="6" t="s">
        <v>19</v>
      </c>
      <c r="F147" s="8">
        <v>6.66</v>
      </c>
      <c r="G147" s="7">
        <v>3288.0</v>
      </c>
      <c r="H147" s="9">
        <v>0.29</v>
      </c>
      <c r="I147" s="10">
        <v>0.005371818181818182</v>
      </c>
    </row>
    <row r="148">
      <c r="A148" s="6">
        <v>1.5</v>
      </c>
      <c r="B148" s="6" t="s">
        <v>24</v>
      </c>
      <c r="C148" s="6"/>
      <c r="D148" s="7">
        <v>2.0</v>
      </c>
      <c r="E148" s="6" t="s">
        <v>22</v>
      </c>
      <c r="F148" s="8">
        <v>6.718</v>
      </c>
      <c r="G148" s="7">
        <v>204.0</v>
      </c>
      <c r="H148" s="9">
        <v>0.02</v>
      </c>
      <c r="I148" s="10">
        <v>0.00397</v>
      </c>
    </row>
    <row r="149">
      <c r="A149" s="6">
        <v>1.5</v>
      </c>
      <c r="B149" s="6" t="s">
        <v>24</v>
      </c>
      <c r="C149" s="6"/>
      <c r="D149" s="7"/>
      <c r="E149" s="6" t="s">
        <v>20</v>
      </c>
      <c r="F149" s="8">
        <v>7.158</v>
      </c>
      <c r="G149" s="7">
        <v>2311.0</v>
      </c>
      <c r="H149" s="9">
        <v>0.21</v>
      </c>
      <c r="I149" s="10">
        <v>0.004927727272727273</v>
      </c>
    </row>
    <row r="150">
      <c r="A150" s="6">
        <v>1.5</v>
      </c>
      <c r="B150" s="6" t="s">
        <v>25</v>
      </c>
      <c r="C150" s="6" t="s">
        <v>10</v>
      </c>
      <c r="D150" s="7">
        <v>0.0</v>
      </c>
      <c r="E150" s="6" t="s">
        <v>11</v>
      </c>
      <c r="F150" s="6">
        <v>4.741</v>
      </c>
      <c r="G150" s="7">
        <v>339452.0</v>
      </c>
      <c r="H150" s="9">
        <v>28.22</v>
      </c>
      <c r="I150" s="10">
        <v>0.15817363636363638</v>
      </c>
    </row>
    <row r="151">
      <c r="A151" s="6">
        <v>1.5</v>
      </c>
      <c r="B151" s="6" t="s">
        <v>25</v>
      </c>
      <c r="C151" s="6" t="s">
        <v>13</v>
      </c>
      <c r="D151" s="7">
        <v>1.0</v>
      </c>
      <c r="E151" s="6" t="s">
        <v>14</v>
      </c>
      <c r="F151" s="6">
        <v>5.75</v>
      </c>
      <c r="G151" s="7">
        <v>23866.0</v>
      </c>
      <c r="H151" s="9">
        <v>1.98</v>
      </c>
      <c r="I151" s="10">
        <v>0.014725454545454545</v>
      </c>
    </row>
    <row r="152">
      <c r="A152" s="6">
        <v>1.5</v>
      </c>
      <c r="B152" s="6" t="s">
        <v>25</v>
      </c>
      <c r="C152" s="6" t="s">
        <v>15</v>
      </c>
      <c r="D152" s="7">
        <v>1.0</v>
      </c>
      <c r="E152" s="6" t="s">
        <v>16</v>
      </c>
      <c r="F152" s="6">
        <v>5.874</v>
      </c>
      <c r="G152" s="7">
        <v>734047.0</v>
      </c>
      <c r="H152" s="9">
        <v>61.01</v>
      </c>
      <c r="I152" s="10">
        <v>0.337535</v>
      </c>
    </row>
    <row r="153">
      <c r="A153" s="6">
        <v>1.5</v>
      </c>
      <c r="B153" s="6" t="s">
        <v>25</v>
      </c>
      <c r="C153" s="6" t="s">
        <v>17</v>
      </c>
      <c r="D153" s="7">
        <v>2.0</v>
      </c>
      <c r="E153" s="6" t="s">
        <v>18</v>
      </c>
      <c r="F153" s="6">
        <v>6.428</v>
      </c>
      <c r="G153" s="7">
        <v>85556.0</v>
      </c>
      <c r="H153" s="9">
        <v>7.11</v>
      </c>
      <c r="I153" s="10">
        <v>0.04276636363636364</v>
      </c>
    </row>
    <row r="154">
      <c r="A154" s="6">
        <v>1.5</v>
      </c>
      <c r="B154" s="6" t="s">
        <v>25</v>
      </c>
      <c r="C154" s="6"/>
      <c r="D154" s="7">
        <v>2.0</v>
      </c>
      <c r="E154" s="6" t="s">
        <v>19</v>
      </c>
      <c r="F154" s="6">
        <v>6.658</v>
      </c>
      <c r="G154" s="7">
        <v>3815.0</v>
      </c>
      <c r="H154" s="9">
        <v>0.32</v>
      </c>
      <c r="I154" s="10">
        <v>0.0056113636363636366</v>
      </c>
    </row>
    <row r="155">
      <c r="A155" s="6">
        <v>1.5</v>
      </c>
      <c r="B155" s="6" t="s">
        <v>25</v>
      </c>
      <c r="C155" s="6"/>
      <c r="D155" s="7"/>
      <c r="E155" s="6" t="s">
        <v>20</v>
      </c>
      <c r="F155" s="6">
        <v>7.158</v>
      </c>
      <c r="G155" s="7">
        <v>2982.0</v>
      </c>
      <c r="H155" s="9">
        <v>0.25</v>
      </c>
      <c r="I155" s="10">
        <v>0.005232727272727273</v>
      </c>
    </row>
    <row r="156">
      <c r="A156" s="6">
        <v>1.5</v>
      </c>
      <c r="B156" s="6" t="s">
        <v>26</v>
      </c>
      <c r="C156" s="6" t="s">
        <v>10</v>
      </c>
      <c r="D156" s="7">
        <v>0.0</v>
      </c>
      <c r="E156" s="6" t="s">
        <v>11</v>
      </c>
      <c r="F156" s="6">
        <v>4.745</v>
      </c>
      <c r="G156" s="7">
        <v>339456.0</v>
      </c>
      <c r="H156" s="9">
        <v>27.61</v>
      </c>
      <c r="I156" s="10">
        <v>0.15817545454545454</v>
      </c>
    </row>
    <row r="157">
      <c r="A157" s="6">
        <v>1.5</v>
      </c>
      <c r="B157" s="6" t="s">
        <v>26</v>
      </c>
      <c r="C157" s="6" t="s">
        <v>13</v>
      </c>
      <c r="D157" s="7">
        <v>1.0</v>
      </c>
      <c r="E157" s="6" t="s">
        <v>14</v>
      </c>
      <c r="F157" s="6">
        <v>5.752</v>
      </c>
      <c r="G157" s="7">
        <v>23296.0</v>
      </c>
      <c r="H157" s="9">
        <v>1.89</v>
      </c>
      <c r="I157" s="10">
        <v>0.014466363636363637</v>
      </c>
    </row>
    <row r="158">
      <c r="A158" s="6">
        <v>1.5</v>
      </c>
      <c r="B158" s="6" t="s">
        <v>26</v>
      </c>
      <c r="C158" s="6" t="s">
        <v>15</v>
      </c>
      <c r="D158" s="7">
        <v>1.0</v>
      </c>
      <c r="E158" s="6" t="s">
        <v>16</v>
      </c>
      <c r="F158" s="6">
        <v>5.877</v>
      </c>
      <c r="G158" s="7">
        <v>753420.0</v>
      </c>
      <c r="H158" s="9">
        <v>61.28</v>
      </c>
      <c r="I158" s="10">
        <v>0.3463409090909091</v>
      </c>
    </row>
    <row r="159">
      <c r="A159" s="6">
        <v>1.5</v>
      </c>
      <c r="B159" s="6" t="s">
        <v>26</v>
      </c>
      <c r="C159" s="6" t="s">
        <v>17</v>
      </c>
      <c r="D159" s="7">
        <v>2.0</v>
      </c>
      <c r="E159" s="6" t="s">
        <v>18</v>
      </c>
      <c r="F159" s="6">
        <v>6.429</v>
      </c>
      <c r="G159" s="7">
        <v>93795.0</v>
      </c>
      <c r="H159" s="9">
        <v>7.63</v>
      </c>
      <c r="I159" s="10">
        <v>0.046511363636363635</v>
      </c>
    </row>
    <row r="160">
      <c r="A160" s="6">
        <v>1.5</v>
      </c>
      <c r="B160" s="6" t="s">
        <v>26</v>
      </c>
      <c r="C160" s="6"/>
      <c r="D160" s="7">
        <v>2.0</v>
      </c>
      <c r="E160" s="6" t="s">
        <v>19</v>
      </c>
      <c r="F160" s="6">
        <v>6.658</v>
      </c>
      <c r="G160" s="7">
        <v>4662.0</v>
      </c>
      <c r="H160" s="9">
        <v>0.38</v>
      </c>
      <c r="I160" s="10">
        <v>0.0059963636363636365</v>
      </c>
    </row>
    <row r="161">
      <c r="A161" s="6">
        <v>1.5</v>
      </c>
      <c r="B161" s="6" t="s">
        <v>26</v>
      </c>
      <c r="C161" s="6"/>
      <c r="D161" s="7"/>
      <c r="E161" s="6" t="s">
        <v>20</v>
      </c>
      <c r="F161" s="6">
        <v>7.157</v>
      </c>
      <c r="G161" s="7">
        <v>2633.0</v>
      </c>
      <c r="H161" s="9">
        <v>0.21</v>
      </c>
      <c r="I161" s="10">
        <v>0.005074090909090909</v>
      </c>
    </row>
    <row r="162">
      <c r="A162" s="6">
        <v>1.5</v>
      </c>
      <c r="B162" s="6" t="s">
        <v>27</v>
      </c>
      <c r="C162" s="6" t="s">
        <v>10</v>
      </c>
      <c r="D162" s="7">
        <v>0.0</v>
      </c>
      <c r="E162" s="6" t="s">
        <v>11</v>
      </c>
      <c r="F162" s="6">
        <v>4.745</v>
      </c>
      <c r="G162" s="7">
        <v>263961.0</v>
      </c>
      <c r="H162" s="9">
        <v>23.13</v>
      </c>
      <c r="I162" s="10">
        <v>0.12385954545454546</v>
      </c>
    </row>
    <row r="163">
      <c r="A163" s="6">
        <v>1.5</v>
      </c>
      <c r="B163" s="6" t="s">
        <v>27</v>
      </c>
      <c r="C163" s="6" t="s">
        <v>13</v>
      </c>
      <c r="D163" s="7">
        <v>1.0</v>
      </c>
      <c r="E163" s="6" t="s">
        <v>14</v>
      </c>
      <c r="F163" s="6">
        <v>5.75</v>
      </c>
      <c r="G163" s="7">
        <v>20984.0</v>
      </c>
      <c r="H163" s="9">
        <v>1.84</v>
      </c>
      <c r="I163" s="10">
        <v>0.013415454545454545</v>
      </c>
    </row>
    <row r="164">
      <c r="A164" s="6">
        <v>1.5</v>
      </c>
      <c r="B164" s="6" t="s">
        <v>27</v>
      </c>
      <c r="C164" s="6" t="s">
        <v>15</v>
      </c>
      <c r="D164" s="7">
        <v>1.0</v>
      </c>
      <c r="E164" s="6" t="s">
        <v>16</v>
      </c>
      <c r="F164" s="6">
        <v>5.875</v>
      </c>
      <c r="G164" s="7">
        <v>736115.0</v>
      </c>
      <c r="H164" s="9">
        <v>64.52</v>
      </c>
      <c r="I164" s="10">
        <v>0.338475</v>
      </c>
    </row>
    <row r="165">
      <c r="A165" s="6">
        <v>1.5</v>
      </c>
      <c r="B165" s="6" t="s">
        <v>27</v>
      </c>
      <c r="C165" s="6" t="s">
        <v>17</v>
      </c>
      <c r="D165" s="7">
        <v>2.0</v>
      </c>
      <c r="E165" s="6" t="s">
        <v>18</v>
      </c>
      <c r="F165" s="6">
        <v>6.429</v>
      </c>
      <c r="G165" s="7">
        <v>97680.0</v>
      </c>
      <c r="H165" s="9">
        <v>8.56</v>
      </c>
      <c r="I165" s="10">
        <v>0.048277272727272724</v>
      </c>
    </row>
    <row r="166">
      <c r="A166" s="6">
        <v>1.5</v>
      </c>
      <c r="B166" s="6" t="s">
        <v>27</v>
      </c>
      <c r="C166" s="6"/>
      <c r="D166" s="7">
        <v>2.0</v>
      </c>
      <c r="E166" s="6" t="s">
        <v>19</v>
      </c>
      <c r="F166" s="6">
        <v>6.658</v>
      </c>
      <c r="G166" s="7">
        <v>4069.0</v>
      </c>
      <c r="H166" s="9">
        <v>0.36</v>
      </c>
      <c r="I166" s="10">
        <v>0.005726818181818182</v>
      </c>
    </row>
    <row r="167">
      <c r="A167" s="6">
        <v>1.5</v>
      </c>
      <c r="B167" s="6" t="s">
        <v>27</v>
      </c>
      <c r="C167" s="6"/>
      <c r="D167" s="7"/>
      <c r="E167" s="6" t="s">
        <v>20</v>
      </c>
      <c r="F167" s="6">
        <v>7.157</v>
      </c>
      <c r="G167" s="7">
        <v>4169.0</v>
      </c>
      <c r="H167" s="9">
        <v>0.37</v>
      </c>
      <c r="I167" s="10">
        <v>0.0057722727272727275</v>
      </c>
    </row>
    <row r="168">
      <c r="A168" s="6">
        <v>1.5</v>
      </c>
      <c r="B168" s="6" t="s">
        <v>28</v>
      </c>
      <c r="C168" s="6" t="s">
        <v>10</v>
      </c>
      <c r="D168" s="7">
        <v>0.0</v>
      </c>
      <c r="E168" s="6" t="s">
        <v>11</v>
      </c>
      <c r="F168" s="6">
        <v>4.746</v>
      </c>
      <c r="G168" s="7">
        <v>247322.0</v>
      </c>
      <c r="H168" s="9">
        <v>22.41</v>
      </c>
      <c r="I168" s="10">
        <v>0.11629636363636364</v>
      </c>
    </row>
    <row r="169">
      <c r="A169" s="6">
        <v>1.5</v>
      </c>
      <c r="B169" s="6" t="s">
        <v>28</v>
      </c>
      <c r="C169" s="6" t="s">
        <v>13</v>
      </c>
      <c r="D169" s="7">
        <v>1.0</v>
      </c>
      <c r="E169" s="6" t="s">
        <v>14</v>
      </c>
      <c r="F169" s="6">
        <v>5.751</v>
      </c>
      <c r="G169" s="7">
        <v>20674.0</v>
      </c>
      <c r="H169" s="9">
        <v>1.87</v>
      </c>
      <c r="I169" s="10">
        <v>0.013274545454545454</v>
      </c>
    </row>
    <row r="170">
      <c r="A170" s="6">
        <v>1.5</v>
      </c>
      <c r="B170" s="6" t="s">
        <v>28</v>
      </c>
      <c r="C170" s="6" t="s">
        <v>15</v>
      </c>
      <c r="D170" s="7">
        <v>1.0</v>
      </c>
      <c r="E170" s="6" t="s">
        <v>16</v>
      </c>
      <c r="F170" s="6">
        <v>5.876</v>
      </c>
      <c r="G170" s="7">
        <v>721847.0</v>
      </c>
      <c r="H170" s="9">
        <v>65.41</v>
      </c>
      <c r="I170" s="10">
        <v>0.33198954545454545</v>
      </c>
    </row>
    <row r="171">
      <c r="A171" s="6">
        <v>1.5</v>
      </c>
      <c r="B171" s="6" t="s">
        <v>28</v>
      </c>
      <c r="C171" s="6" t="s">
        <v>17</v>
      </c>
      <c r="D171" s="7">
        <v>2.0</v>
      </c>
      <c r="E171" s="6" t="s">
        <v>18</v>
      </c>
      <c r="F171" s="6">
        <v>6.429</v>
      </c>
      <c r="G171" s="7">
        <v>92817.0</v>
      </c>
      <c r="H171" s="9">
        <v>8.41</v>
      </c>
      <c r="I171" s="10">
        <v>0.04606681818181818</v>
      </c>
    </row>
    <row r="172">
      <c r="A172" s="6">
        <v>1.5</v>
      </c>
      <c r="B172" s="6" t="s">
        <v>28</v>
      </c>
      <c r="C172" s="6"/>
      <c r="D172" s="7">
        <v>2.0</v>
      </c>
      <c r="E172" s="6" t="s">
        <v>19</v>
      </c>
      <c r="F172" s="6">
        <v>6.659</v>
      </c>
      <c r="G172" s="7">
        <v>3928.0</v>
      </c>
      <c r="H172" s="9">
        <v>0.36</v>
      </c>
      <c r="I172" s="10">
        <v>0.005662727272727272</v>
      </c>
    </row>
    <row r="173">
      <c r="A173" s="6">
        <v>1.5</v>
      </c>
      <c r="B173" s="6" t="s">
        <v>28</v>
      </c>
      <c r="C173" s="6"/>
      <c r="D173" s="7"/>
      <c r="E173" s="6" t="s">
        <v>20</v>
      </c>
      <c r="F173" s="6">
        <v>7.159</v>
      </c>
      <c r="G173" s="7">
        <v>3324.0</v>
      </c>
      <c r="H173" s="9">
        <v>0.3</v>
      </c>
      <c r="I173" s="10">
        <v>0.005388181818181818</v>
      </c>
    </row>
    <row r="174">
      <c r="A174" s="6">
        <v>1.5</v>
      </c>
      <c r="B174" s="6" t="s">
        <v>29</v>
      </c>
      <c r="C174" s="6" t="s">
        <v>10</v>
      </c>
      <c r="D174" s="7">
        <v>0.0</v>
      </c>
      <c r="E174" s="6" t="s">
        <v>11</v>
      </c>
      <c r="F174" s="6">
        <v>4.745</v>
      </c>
      <c r="G174" s="7">
        <v>234916.0</v>
      </c>
      <c r="H174" s="9">
        <v>22.26</v>
      </c>
      <c r="I174" s="10">
        <v>0.11065727272727273</v>
      </c>
    </row>
    <row r="175">
      <c r="A175" s="6">
        <v>1.5</v>
      </c>
      <c r="B175" s="6" t="s">
        <v>29</v>
      </c>
      <c r="C175" s="6" t="s">
        <v>13</v>
      </c>
      <c r="D175" s="7">
        <v>1.0</v>
      </c>
      <c r="E175" s="6" t="s">
        <v>14</v>
      </c>
      <c r="F175" s="6">
        <v>5.75</v>
      </c>
      <c r="G175" s="7">
        <v>19604.0</v>
      </c>
      <c r="H175" s="9">
        <v>1.86</v>
      </c>
      <c r="I175" s="10">
        <v>0.012788181818181818</v>
      </c>
    </row>
    <row r="176">
      <c r="A176" s="6">
        <v>1.5</v>
      </c>
      <c r="B176" s="6" t="s">
        <v>29</v>
      </c>
      <c r="C176" s="6" t="s">
        <v>15</v>
      </c>
      <c r="D176" s="7">
        <v>1.0</v>
      </c>
      <c r="E176" s="6" t="s">
        <v>16</v>
      </c>
      <c r="F176" s="6">
        <v>5.874</v>
      </c>
      <c r="G176" s="7">
        <v>688134.0</v>
      </c>
      <c r="H176" s="9">
        <v>65.19</v>
      </c>
      <c r="I176" s="10">
        <v>0.31666545454545453</v>
      </c>
    </row>
    <row r="177">
      <c r="A177" s="6">
        <v>1.5</v>
      </c>
      <c r="B177" s="6" t="s">
        <v>29</v>
      </c>
      <c r="C177" s="6" t="s">
        <v>17</v>
      </c>
      <c r="D177" s="7">
        <v>2.0</v>
      </c>
      <c r="E177" s="6" t="s">
        <v>18</v>
      </c>
      <c r="F177" s="6">
        <v>6.428</v>
      </c>
      <c r="G177" s="7">
        <v>92125.0</v>
      </c>
      <c r="H177" s="9">
        <v>8.73</v>
      </c>
      <c r="I177" s="10">
        <v>0.045752272727272725</v>
      </c>
    </row>
    <row r="178">
      <c r="A178" s="6">
        <v>1.5</v>
      </c>
      <c r="B178" s="6" t="s">
        <v>29</v>
      </c>
      <c r="C178" s="6"/>
      <c r="D178" s="7">
        <v>2.0</v>
      </c>
      <c r="E178" s="6" t="s">
        <v>19</v>
      </c>
      <c r="F178" s="6">
        <v>6.658</v>
      </c>
      <c r="G178" s="7">
        <v>4045.0</v>
      </c>
      <c r="H178" s="9">
        <v>0.38</v>
      </c>
      <c r="I178" s="10">
        <v>0.005715909090909091</v>
      </c>
    </row>
    <row r="179">
      <c r="A179" s="6">
        <v>1.5</v>
      </c>
      <c r="B179" s="6" t="s">
        <v>29</v>
      </c>
      <c r="C179" s="6"/>
      <c r="D179" s="7"/>
      <c r="E179" s="6" t="s">
        <v>20</v>
      </c>
      <c r="F179" s="6">
        <v>7.155</v>
      </c>
      <c r="G179" s="7">
        <v>3122.0</v>
      </c>
      <c r="H179" s="9">
        <v>0.3</v>
      </c>
      <c r="I179" s="10">
        <v>0.005296363636363636</v>
      </c>
    </row>
    <row r="180">
      <c r="A180" s="6">
        <v>1.5</v>
      </c>
      <c r="B180" s="6" t="s">
        <v>30</v>
      </c>
      <c r="C180" s="6" t="s">
        <v>10</v>
      </c>
      <c r="D180" s="7">
        <v>0.0</v>
      </c>
      <c r="E180" s="6" t="s">
        <v>11</v>
      </c>
      <c r="F180" s="6">
        <v>4.743</v>
      </c>
      <c r="G180" s="7">
        <v>231472.0</v>
      </c>
      <c r="H180" s="9">
        <v>21.77</v>
      </c>
      <c r="I180" s="10">
        <v>0.10909181818181818</v>
      </c>
    </row>
    <row r="181">
      <c r="A181" s="6">
        <v>1.5</v>
      </c>
      <c r="B181" s="6" t="s">
        <v>30</v>
      </c>
      <c r="C181" s="6" t="s">
        <v>13</v>
      </c>
      <c r="D181" s="7">
        <v>1.0</v>
      </c>
      <c r="E181" s="6" t="s">
        <v>14</v>
      </c>
      <c r="F181" s="6">
        <v>5.751</v>
      </c>
      <c r="G181" s="7">
        <v>19615.0</v>
      </c>
      <c r="H181" s="9">
        <v>1.84</v>
      </c>
      <c r="I181" s="10">
        <v>0.012793181818181818</v>
      </c>
    </row>
    <row r="182">
      <c r="A182" s="6">
        <v>1.5</v>
      </c>
      <c r="B182" s="6" t="s">
        <v>30</v>
      </c>
      <c r="C182" s="6" t="s">
        <v>15</v>
      </c>
      <c r="D182" s="7">
        <v>1.0</v>
      </c>
      <c r="E182" s="6" t="s">
        <v>16</v>
      </c>
      <c r="F182" s="6">
        <v>5.875</v>
      </c>
      <c r="G182" s="7">
        <v>696586.0</v>
      </c>
      <c r="H182" s="9">
        <v>65.52</v>
      </c>
      <c r="I182" s="10">
        <v>0.32050727272727275</v>
      </c>
    </row>
    <row r="183">
      <c r="A183" s="6">
        <v>1.5</v>
      </c>
      <c r="B183" s="6" t="s">
        <v>30</v>
      </c>
      <c r="C183" s="6" t="s">
        <v>17</v>
      </c>
      <c r="D183" s="7">
        <v>2.0</v>
      </c>
      <c r="E183" s="6" t="s">
        <v>18</v>
      </c>
      <c r="F183" s="6">
        <v>6.428</v>
      </c>
      <c r="G183" s="7">
        <v>96779.0</v>
      </c>
      <c r="H183" s="9">
        <v>9.1</v>
      </c>
      <c r="I183" s="10">
        <v>0.04786772727272727</v>
      </c>
    </row>
    <row r="184">
      <c r="A184" s="6">
        <v>1.5</v>
      </c>
      <c r="B184" s="6" t="s">
        <v>30</v>
      </c>
      <c r="C184" s="6"/>
      <c r="D184" s="7">
        <v>2.0</v>
      </c>
      <c r="E184" s="6" t="s">
        <v>19</v>
      </c>
      <c r="F184" s="6">
        <v>6.657</v>
      </c>
      <c r="G184" s="7">
        <v>4656.0</v>
      </c>
      <c r="H184" s="9">
        <v>0.44</v>
      </c>
      <c r="I184" s="10">
        <v>0.005993636363636363</v>
      </c>
    </row>
    <row r="185">
      <c r="A185" s="6">
        <v>1.5</v>
      </c>
      <c r="B185" s="6" t="s">
        <v>30</v>
      </c>
      <c r="C185" s="6"/>
      <c r="D185" s="7">
        <v>3.0</v>
      </c>
      <c r="E185" s="6" t="s">
        <v>20</v>
      </c>
      <c r="F185" s="6">
        <v>7.156</v>
      </c>
      <c r="G185" s="7">
        <v>2282.0</v>
      </c>
      <c r="H185" s="9">
        <v>0.21</v>
      </c>
      <c r="I185" s="10">
        <v>0.004914545454545454</v>
      </c>
    </row>
    <row r="186">
      <c r="A186" s="6">
        <v>1.5</v>
      </c>
      <c r="B186" s="6" t="s">
        <v>31</v>
      </c>
      <c r="C186" s="6" t="s">
        <v>10</v>
      </c>
      <c r="D186" s="7">
        <v>0.0</v>
      </c>
      <c r="E186" s="6" t="s">
        <v>11</v>
      </c>
      <c r="F186" s="6">
        <v>4.743</v>
      </c>
      <c r="G186" s="7">
        <v>239185.0</v>
      </c>
      <c r="H186" s="9">
        <v>21.57</v>
      </c>
      <c r="I186" s="10">
        <v>0.11259772727272727</v>
      </c>
    </row>
    <row r="187">
      <c r="A187" s="6">
        <v>1.5</v>
      </c>
      <c r="B187" s="6" t="s">
        <v>31</v>
      </c>
      <c r="C187" s="6" t="s">
        <v>13</v>
      </c>
      <c r="D187" s="7">
        <v>1.0</v>
      </c>
      <c r="E187" s="6" t="s">
        <v>14</v>
      </c>
      <c r="F187" s="6">
        <v>5.751</v>
      </c>
      <c r="G187" s="7">
        <v>20355.0</v>
      </c>
      <c r="H187" s="9">
        <v>1.84</v>
      </c>
      <c r="I187" s="10">
        <v>0.013129545454545455</v>
      </c>
    </row>
    <row r="188">
      <c r="A188" s="6">
        <v>1.5</v>
      </c>
      <c r="B188" s="6" t="s">
        <v>31</v>
      </c>
      <c r="C188" s="6" t="s">
        <v>15</v>
      </c>
      <c r="D188" s="7">
        <v>1.0</v>
      </c>
      <c r="E188" s="6" t="s">
        <v>16</v>
      </c>
      <c r="F188" s="6">
        <v>5.875</v>
      </c>
      <c r="G188" s="7">
        <v>725736.0</v>
      </c>
      <c r="H188" s="9">
        <v>65.45</v>
      </c>
      <c r="I188" s="10">
        <v>0.33375727272727274</v>
      </c>
    </row>
    <row r="189">
      <c r="A189" s="6">
        <v>1.5</v>
      </c>
      <c r="B189" s="6" t="s">
        <v>31</v>
      </c>
      <c r="C189" s="6" t="s">
        <v>17</v>
      </c>
      <c r="D189" s="7">
        <v>2.0</v>
      </c>
      <c r="E189" s="6" t="s">
        <v>18</v>
      </c>
      <c r="F189" s="6">
        <v>6.429</v>
      </c>
      <c r="G189" s="7">
        <v>101413.0</v>
      </c>
      <c r="H189" s="9">
        <v>9.15</v>
      </c>
      <c r="I189" s="10">
        <v>0.04997409090909091</v>
      </c>
    </row>
    <row r="190">
      <c r="A190" s="6">
        <v>1.5</v>
      </c>
      <c r="B190" s="6" t="s">
        <v>31</v>
      </c>
      <c r="C190" s="6"/>
      <c r="D190" s="7">
        <v>2.0</v>
      </c>
      <c r="E190" s="6" t="s">
        <v>19</v>
      </c>
      <c r="F190" s="6">
        <v>6.657</v>
      </c>
      <c r="G190" s="7">
        <v>4759.0</v>
      </c>
      <c r="H190" s="9">
        <v>0.43</v>
      </c>
      <c r="I190" s="10">
        <v>0.006040454545454545</v>
      </c>
    </row>
    <row r="191">
      <c r="A191" s="6">
        <v>1.5</v>
      </c>
      <c r="B191" s="6" t="s">
        <v>31</v>
      </c>
      <c r="C191" s="6"/>
      <c r="D191" s="7">
        <v>3.0</v>
      </c>
      <c r="E191" s="6" t="s">
        <v>20</v>
      </c>
      <c r="F191" s="6">
        <v>7.158</v>
      </c>
      <c r="G191" s="7">
        <v>3235.0</v>
      </c>
      <c r="H191" s="9">
        <v>0.29</v>
      </c>
      <c r="I191" s="10">
        <v>0.005347727272727273</v>
      </c>
    </row>
    <row r="192">
      <c r="A192" s="6">
        <v>1.5</v>
      </c>
      <c r="B192" s="6" t="s">
        <v>32</v>
      </c>
      <c r="C192" s="6" t="s">
        <v>10</v>
      </c>
      <c r="D192" s="7">
        <v>0.0</v>
      </c>
      <c r="E192" s="6" t="s">
        <v>11</v>
      </c>
      <c r="F192" s="6">
        <v>4.744</v>
      </c>
      <c r="G192" s="7">
        <v>267323.0</v>
      </c>
      <c r="H192" s="9">
        <v>23.45</v>
      </c>
      <c r="I192" s="10">
        <v>0.12538772727272726</v>
      </c>
    </row>
    <row r="193">
      <c r="A193" s="6">
        <v>1.5</v>
      </c>
      <c r="B193" s="6" t="s">
        <v>32</v>
      </c>
      <c r="C193" s="6" t="s">
        <v>13</v>
      </c>
      <c r="D193" s="7">
        <v>1.0</v>
      </c>
      <c r="E193" s="6" t="s">
        <v>14</v>
      </c>
      <c r="F193" s="6">
        <v>5.751</v>
      </c>
      <c r="G193" s="7">
        <v>20479.0</v>
      </c>
      <c r="H193" s="9">
        <v>1.8</v>
      </c>
      <c r="I193" s="10">
        <v>0.01318590909090909</v>
      </c>
    </row>
    <row r="194">
      <c r="A194" s="6">
        <v>1.5</v>
      </c>
      <c r="B194" s="6" t="s">
        <v>32</v>
      </c>
      <c r="C194" s="6" t="s">
        <v>15</v>
      </c>
      <c r="D194" s="7">
        <v>1.0</v>
      </c>
      <c r="E194" s="6" t="s">
        <v>16</v>
      </c>
      <c r="F194" s="6">
        <v>5.876</v>
      </c>
      <c r="G194" s="7">
        <v>727927.0</v>
      </c>
      <c r="H194" s="9">
        <v>63.87</v>
      </c>
      <c r="I194" s="10">
        <v>0.3347531818181818</v>
      </c>
    </row>
    <row r="195">
      <c r="A195" s="6">
        <v>1.5</v>
      </c>
      <c r="B195" s="6" t="s">
        <v>32</v>
      </c>
      <c r="C195" s="6" t="s">
        <v>17</v>
      </c>
      <c r="D195" s="7">
        <v>2.0</v>
      </c>
      <c r="E195" s="6" t="s">
        <v>18</v>
      </c>
      <c r="F195" s="6">
        <v>6.429</v>
      </c>
      <c r="G195" s="7">
        <v>100954.0</v>
      </c>
      <c r="H195" s="9">
        <v>8.86</v>
      </c>
      <c r="I195" s="10">
        <v>0.04976545454545454</v>
      </c>
    </row>
    <row r="196">
      <c r="A196" s="6">
        <v>1.5</v>
      </c>
      <c r="B196" s="6" t="s">
        <v>32</v>
      </c>
      <c r="C196" s="6"/>
      <c r="D196" s="7">
        <v>2.0</v>
      </c>
      <c r="E196" s="6" t="s">
        <v>19</v>
      </c>
      <c r="F196" s="6">
        <v>6.658</v>
      </c>
      <c r="G196" s="7">
        <v>4773.0</v>
      </c>
      <c r="H196" s="9">
        <v>0.42</v>
      </c>
      <c r="I196" s="10">
        <v>0.006046818181818182</v>
      </c>
    </row>
    <row r="197">
      <c r="A197" s="6">
        <v>1.5</v>
      </c>
      <c r="B197" s="6" t="s">
        <v>32</v>
      </c>
      <c r="C197" s="6"/>
      <c r="D197" s="7">
        <v>3.0</v>
      </c>
      <c r="E197" s="6" t="s">
        <v>20</v>
      </c>
      <c r="F197" s="6">
        <v>7.158</v>
      </c>
      <c r="G197" s="7">
        <v>3669.0</v>
      </c>
      <c r="H197" s="9">
        <v>0.32</v>
      </c>
      <c r="I197" s="10">
        <v>0.005545</v>
      </c>
    </row>
    <row r="198">
      <c r="A198" s="6">
        <v>1.5</v>
      </c>
      <c r="B198" s="6" t="s">
        <v>34</v>
      </c>
      <c r="C198" s="6" t="s">
        <v>10</v>
      </c>
      <c r="D198" s="7">
        <v>0.0</v>
      </c>
      <c r="E198" s="6" t="s">
        <v>11</v>
      </c>
      <c r="F198" s="6">
        <v>4.746</v>
      </c>
      <c r="G198" s="7">
        <v>242190.0</v>
      </c>
      <c r="H198" s="9">
        <v>21.69</v>
      </c>
      <c r="I198" s="10">
        <v>0.11396363636363636</v>
      </c>
    </row>
    <row r="199">
      <c r="A199" s="6">
        <v>1.5</v>
      </c>
      <c r="B199" s="6" t="s">
        <v>34</v>
      </c>
      <c r="C199" s="6" t="s">
        <v>13</v>
      </c>
      <c r="D199" s="7">
        <v>1.0</v>
      </c>
      <c r="E199" s="6" t="s">
        <v>14</v>
      </c>
      <c r="F199" s="6">
        <v>5.751</v>
      </c>
      <c r="G199" s="7">
        <v>20176.0</v>
      </c>
      <c r="H199" s="9">
        <v>1.81</v>
      </c>
      <c r="I199" s="10">
        <v>0.013048181818181818</v>
      </c>
    </row>
    <row r="200">
      <c r="A200" s="6">
        <v>1.5</v>
      </c>
      <c r="B200" s="6" t="s">
        <v>34</v>
      </c>
      <c r="C200" s="6" t="s">
        <v>15</v>
      </c>
      <c r="D200" s="7">
        <v>1.0</v>
      </c>
      <c r="E200" s="6" t="s">
        <v>16</v>
      </c>
      <c r="F200" s="6">
        <v>5.876</v>
      </c>
      <c r="G200" s="7">
        <v>725653.0</v>
      </c>
      <c r="H200" s="9">
        <v>65.0</v>
      </c>
      <c r="I200" s="10">
        <v>0.33371954545454546</v>
      </c>
    </row>
    <row r="201">
      <c r="A201" s="6">
        <v>1.5</v>
      </c>
      <c r="B201" s="6" t="s">
        <v>34</v>
      </c>
      <c r="C201" s="6" t="s">
        <v>17</v>
      </c>
      <c r="D201" s="7">
        <v>2.0</v>
      </c>
      <c r="E201" s="6" t="s">
        <v>18</v>
      </c>
      <c r="F201" s="6">
        <v>6.43</v>
      </c>
      <c r="G201" s="7">
        <v>104823.0</v>
      </c>
      <c r="H201" s="9">
        <v>9.39</v>
      </c>
      <c r="I201" s="10">
        <v>0.05152409090909091</v>
      </c>
    </row>
    <row r="202">
      <c r="A202" s="6">
        <v>1.5</v>
      </c>
      <c r="B202" s="6" t="s">
        <v>34</v>
      </c>
      <c r="C202" s="6"/>
      <c r="D202" s="7">
        <v>2.0</v>
      </c>
      <c r="E202" s="6" t="s">
        <v>19</v>
      </c>
      <c r="F202" s="6">
        <v>6.657</v>
      </c>
      <c r="G202" s="7">
        <v>5258.0</v>
      </c>
      <c r="H202" s="9">
        <v>0.47</v>
      </c>
      <c r="I202" s="10">
        <v>0.006267272727272727</v>
      </c>
    </row>
    <row r="203">
      <c r="A203" s="6">
        <v>1.5</v>
      </c>
      <c r="B203" s="6" t="s">
        <v>34</v>
      </c>
      <c r="C203" s="6"/>
      <c r="D203" s="7">
        <v>3.0</v>
      </c>
      <c r="E203" s="6" t="s">
        <v>20</v>
      </c>
      <c r="F203" s="6">
        <v>7.156</v>
      </c>
      <c r="G203" s="7">
        <v>3399.0</v>
      </c>
      <c r="H203" s="9">
        <v>0.3</v>
      </c>
      <c r="I203" s="10">
        <v>0.005422272727272727</v>
      </c>
    </row>
    <row r="204">
      <c r="A204" s="6">
        <v>1.5</v>
      </c>
      <c r="B204" s="6" t="s">
        <v>39</v>
      </c>
      <c r="C204" s="6" t="s">
        <v>10</v>
      </c>
      <c r="D204" s="7">
        <v>0.0</v>
      </c>
      <c r="E204" s="6" t="s">
        <v>11</v>
      </c>
      <c r="F204" s="6">
        <v>4.75</v>
      </c>
      <c r="G204" s="7">
        <v>221598.0</v>
      </c>
      <c r="H204" s="9">
        <v>21.85</v>
      </c>
      <c r="I204" s="10">
        <v>0.10460363636363636</v>
      </c>
    </row>
    <row r="205">
      <c r="A205" s="6">
        <v>1.5</v>
      </c>
      <c r="B205" s="6" t="s">
        <v>39</v>
      </c>
      <c r="C205" s="6" t="s">
        <v>13</v>
      </c>
      <c r="D205" s="7">
        <v>1.0</v>
      </c>
      <c r="E205" s="6" t="s">
        <v>14</v>
      </c>
      <c r="F205" s="6">
        <v>5.752</v>
      </c>
      <c r="G205" s="7">
        <v>18286.0</v>
      </c>
      <c r="H205" s="9">
        <v>1.8</v>
      </c>
      <c r="I205" s="10">
        <v>0.01218909090909091</v>
      </c>
    </row>
    <row r="206">
      <c r="A206" s="6">
        <v>1.5</v>
      </c>
      <c r="B206" s="6" t="s">
        <v>39</v>
      </c>
      <c r="C206" s="6" t="s">
        <v>15</v>
      </c>
      <c r="D206" s="7">
        <v>1.0</v>
      </c>
      <c r="E206" s="6" t="s">
        <v>16</v>
      </c>
      <c r="F206" s="6">
        <v>5.876</v>
      </c>
      <c r="G206" s="7">
        <v>660795.0</v>
      </c>
      <c r="H206" s="9">
        <v>65.16</v>
      </c>
      <c r="I206" s="10">
        <v>0.30423863636363635</v>
      </c>
    </row>
    <row r="207">
      <c r="A207" s="6">
        <v>1.5</v>
      </c>
      <c r="B207" s="6" t="s">
        <v>39</v>
      </c>
      <c r="C207" s="6" t="s">
        <v>17</v>
      </c>
      <c r="D207" s="7">
        <v>2.0</v>
      </c>
      <c r="E207" s="6" t="s">
        <v>18</v>
      </c>
      <c r="F207" s="6">
        <v>6.432</v>
      </c>
      <c r="G207" s="7">
        <v>92373.0</v>
      </c>
      <c r="H207" s="9">
        <v>9.11</v>
      </c>
      <c r="I207" s="10">
        <v>0.045865</v>
      </c>
    </row>
    <row r="208">
      <c r="A208" s="6">
        <v>1.5</v>
      </c>
      <c r="B208" s="6" t="s">
        <v>39</v>
      </c>
      <c r="C208" s="6"/>
      <c r="D208" s="7">
        <v>2.0</v>
      </c>
      <c r="E208" s="6" t="s">
        <v>19</v>
      </c>
      <c r="F208" s="6">
        <v>6.661</v>
      </c>
      <c r="G208" s="7">
        <v>4852.0</v>
      </c>
      <c r="H208" s="9">
        <v>0.48</v>
      </c>
      <c r="I208" s="10">
        <v>0.006082727272727273</v>
      </c>
    </row>
    <row r="209">
      <c r="A209" s="6">
        <v>1.5</v>
      </c>
      <c r="B209" s="6" t="s">
        <v>39</v>
      </c>
      <c r="C209" s="6"/>
      <c r="D209" s="7">
        <v>2.0</v>
      </c>
      <c r="E209" s="6" t="s">
        <v>22</v>
      </c>
      <c r="F209" s="6">
        <v>6.718</v>
      </c>
      <c r="G209" s="7">
        <v>298.0</v>
      </c>
      <c r="H209" s="9">
        <v>0.03</v>
      </c>
      <c r="I209" s="10">
        <v>0.004012727272727273</v>
      </c>
    </row>
    <row r="210">
      <c r="A210" s="6">
        <v>1.5</v>
      </c>
      <c r="B210" s="6" t="s">
        <v>39</v>
      </c>
      <c r="C210" s="6"/>
      <c r="D210" s="7">
        <v>3.0</v>
      </c>
      <c r="E210" s="6" t="s">
        <v>20</v>
      </c>
      <c r="F210" s="6">
        <v>7.159</v>
      </c>
      <c r="G210" s="7">
        <v>2484.0</v>
      </c>
      <c r="H210" s="9">
        <v>0.24</v>
      </c>
      <c r="I210" s="10">
        <v>0.005006363636363636</v>
      </c>
    </row>
    <row r="211">
      <c r="A211" s="6">
        <v>1.5</v>
      </c>
      <c r="B211" s="6" t="s">
        <v>35</v>
      </c>
      <c r="C211" s="6" t="s">
        <v>10</v>
      </c>
      <c r="D211" s="7">
        <v>0.0</v>
      </c>
      <c r="E211" s="6" t="s">
        <v>11</v>
      </c>
      <c r="F211" s="6">
        <v>4.75</v>
      </c>
      <c r="G211" s="7">
        <v>241027.0</v>
      </c>
      <c r="H211" s="9">
        <v>21.46</v>
      </c>
      <c r="I211" s="10">
        <v>0.113435</v>
      </c>
    </row>
    <row r="212">
      <c r="A212" s="6">
        <v>1.5</v>
      </c>
      <c r="B212" s="6" t="s">
        <v>35</v>
      </c>
      <c r="C212" s="6" t="s">
        <v>13</v>
      </c>
      <c r="D212" s="7">
        <v>1.0</v>
      </c>
      <c r="E212" s="6" t="s">
        <v>14</v>
      </c>
      <c r="F212" s="6">
        <v>5.752</v>
      </c>
      <c r="G212" s="7">
        <v>20456.0</v>
      </c>
      <c r="H212" s="9">
        <v>1.82</v>
      </c>
      <c r="I212" s="10">
        <v>0.013175454545454546</v>
      </c>
    </row>
    <row r="213">
      <c r="A213" s="6">
        <v>1.5</v>
      </c>
      <c r="B213" s="6" t="s">
        <v>35</v>
      </c>
      <c r="C213" s="6" t="s">
        <v>15</v>
      </c>
      <c r="D213" s="7">
        <v>1.0</v>
      </c>
      <c r="E213" s="6" t="s">
        <v>16</v>
      </c>
      <c r="F213" s="8">
        <v>5.876</v>
      </c>
      <c r="G213" s="7">
        <v>733753.0</v>
      </c>
      <c r="H213" s="9">
        <v>65.33</v>
      </c>
      <c r="I213" s="10">
        <v>0.33740136363636364</v>
      </c>
    </row>
    <row r="214">
      <c r="A214" s="6">
        <v>1.5</v>
      </c>
      <c r="B214" s="6" t="s">
        <v>35</v>
      </c>
      <c r="C214" s="6" t="s">
        <v>17</v>
      </c>
      <c r="D214" s="7">
        <v>2.0</v>
      </c>
      <c r="E214" s="6" t="s">
        <v>18</v>
      </c>
      <c r="F214" s="8">
        <v>6.431</v>
      </c>
      <c r="G214" s="7">
        <v>101268.0</v>
      </c>
      <c r="H214" s="9">
        <v>9.02</v>
      </c>
      <c r="I214" s="10">
        <v>0.04990818181818182</v>
      </c>
    </row>
    <row r="215">
      <c r="A215" s="6">
        <v>1.5</v>
      </c>
      <c r="B215" s="6" t="s">
        <v>35</v>
      </c>
      <c r="C215" s="6"/>
      <c r="D215" s="7">
        <v>2.0</v>
      </c>
      <c r="E215" s="6" t="s">
        <v>19</v>
      </c>
      <c r="F215" s="8">
        <v>6.66</v>
      </c>
      <c r="G215" s="7">
        <v>5620.0</v>
      </c>
      <c r="H215" s="9">
        <v>0.5</v>
      </c>
      <c r="I215" s="10">
        <v>0.006431818181818182</v>
      </c>
    </row>
    <row r="216">
      <c r="A216" s="6">
        <v>1.5</v>
      </c>
      <c r="B216" s="6" t="s">
        <v>35</v>
      </c>
      <c r="C216" s="6"/>
      <c r="D216" s="7">
        <v>2.0</v>
      </c>
      <c r="E216" s="6" t="s">
        <v>22</v>
      </c>
      <c r="F216" s="8">
        <v>6.718</v>
      </c>
      <c r="G216" s="7">
        <v>387.0</v>
      </c>
      <c r="H216" s="9">
        <v>0.03</v>
      </c>
      <c r="I216" s="10">
        <v>0.004053181818181818</v>
      </c>
    </row>
    <row r="217">
      <c r="A217" s="6">
        <v>1.5</v>
      </c>
      <c r="B217" s="6" t="s">
        <v>35</v>
      </c>
      <c r="C217" s="6"/>
      <c r="D217" s="7">
        <v>3.0</v>
      </c>
      <c r="E217" s="6" t="s">
        <v>20</v>
      </c>
      <c r="F217" s="8">
        <v>7.157</v>
      </c>
      <c r="G217" s="7">
        <v>2596.0</v>
      </c>
      <c r="H217" s="9">
        <v>0.23</v>
      </c>
      <c r="I217" s="10">
        <v>0.005057272727272727</v>
      </c>
    </row>
    <row r="218">
      <c r="A218" s="6">
        <v>1.5</v>
      </c>
      <c r="B218" s="6" t="s">
        <v>40</v>
      </c>
      <c r="C218" s="6" t="s">
        <v>10</v>
      </c>
      <c r="D218" s="7">
        <v>0.0</v>
      </c>
      <c r="E218" s="6" t="s">
        <v>11</v>
      </c>
      <c r="F218" s="8">
        <v>4.746</v>
      </c>
      <c r="G218" s="7">
        <v>229739.0</v>
      </c>
      <c r="H218" s="9">
        <v>21.36</v>
      </c>
      <c r="I218" s="10">
        <v>0.1083040909090909</v>
      </c>
    </row>
    <row r="219">
      <c r="A219" s="6">
        <v>1.5</v>
      </c>
      <c r="B219" s="6" t="s">
        <v>40</v>
      </c>
      <c r="C219" s="6" t="s">
        <v>13</v>
      </c>
      <c r="D219" s="7">
        <v>1.0</v>
      </c>
      <c r="E219" s="6" t="s">
        <v>14</v>
      </c>
      <c r="F219" s="8">
        <v>5.752</v>
      </c>
      <c r="G219" s="7">
        <v>19128.0</v>
      </c>
      <c r="H219" s="9">
        <v>1.78</v>
      </c>
      <c r="I219" s="10">
        <v>0.012571818181818182</v>
      </c>
    </row>
    <row r="220">
      <c r="A220" s="6">
        <v>1.5</v>
      </c>
      <c r="B220" s="6" t="s">
        <v>40</v>
      </c>
      <c r="C220" s="6" t="s">
        <v>15</v>
      </c>
      <c r="D220" s="7">
        <v>1.0</v>
      </c>
      <c r="E220" s="6" t="s">
        <v>16</v>
      </c>
      <c r="F220" s="8">
        <v>5.876</v>
      </c>
      <c r="G220" s="7">
        <v>704443.0</v>
      </c>
      <c r="H220" s="9">
        <v>65.5</v>
      </c>
      <c r="I220" s="10">
        <v>0.3240786363636364</v>
      </c>
    </row>
    <row r="221">
      <c r="A221" s="6">
        <v>1.5</v>
      </c>
      <c r="B221" s="6" t="s">
        <v>40</v>
      </c>
      <c r="C221" s="6" t="s">
        <v>17</v>
      </c>
      <c r="D221" s="7">
        <v>2.0</v>
      </c>
      <c r="E221" s="6" t="s">
        <v>18</v>
      </c>
      <c r="F221" s="8">
        <v>6.431</v>
      </c>
      <c r="G221" s="7">
        <v>96212.0</v>
      </c>
      <c r="H221" s="9">
        <v>8.95</v>
      </c>
      <c r="I221" s="10">
        <v>0.04761</v>
      </c>
    </row>
    <row r="222">
      <c r="A222" s="6">
        <v>1.5</v>
      </c>
      <c r="B222" s="6" t="s">
        <v>40</v>
      </c>
      <c r="C222" s="6"/>
      <c r="D222" s="7">
        <v>2.0</v>
      </c>
      <c r="E222" s="6" t="s">
        <v>19</v>
      </c>
      <c r="F222" s="8">
        <v>6.659</v>
      </c>
      <c r="G222" s="7">
        <v>5026.0</v>
      </c>
      <c r="H222" s="9">
        <v>0.47</v>
      </c>
      <c r="I222" s="10">
        <v>0.0061618181818181815</v>
      </c>
    </row>
    <row r="223">
      <c r="A223" s="6">
        <v>1.5</v>
      </c>
      <c r="B223" s="6" t="s">
        <v>40</v>
      </c>
      <c r="C223" s="6"/>
      <c r="D223" s="7">
        <v>3.0</v>
      </c>
      <c r="E223" s="6" t="s">
        <v>20</v>
      </c>
      <c r="F223" s="8">
        <v>7.156</v>
      </c>
      <c r="G223" s="7">
        <v>2600.0</v>
      </c>
      <c r="H223" s="9">
        <v>0.24</v>
      </c>
      <c r="I223" s="10">
        <v>0.005059090909090909</v>
      </c>
    </row>
    <row r="224">
      <c r="A224" s="6">
        <v>1.5</v>
      </c>
      <c r="B224" s="6" t="s">
        <v>37</v>
      </c>
      <c r="C224" s="6" t="s">
        <v>10</v>
      </c>
      <c r="D224" s="7">
        <v>0.0</v>
      </c>
      <c r="E224" s="6" t="s">
        <v>11</v>
      </c>
      <c r="F224" s="8">
        <v>4.744</v>
      </c>
      <c r="G224" s="7">
        <v>304051.0</v>
      </c>
      <c r="H224" s="9">
        <v>24.46</v>
      </c>
      <c r="I224" s="10">
        <v>0.14208227272727272</v>
      </c>
    </row>
    <row r="225">
      <c r="A225" s="6">
        <v>1.5</v>
      </c>
      <c r="B225" s="6" t="s">
        <v>37</v>
      </c>
      <c r="C225" s="6" t="s">
        <v>13</v>
      </c>
      <c r="D225" s="7">
        <v>1.0</v>
      </c>
      <c r="E225" s="6" t="s">
        <v>14</v>
      </c>
      <c r="F225" s="8">
        <v>5.75</v>
      </c>
      <c r="G225" s="7">
        <v>22314.0</v>
      </c>
      <c r="H225" s="9">
        <v>1.8</v>
      </c>
      <c r="I225" s="10">
        <v>0.01402</v>
      </c>
    </row>
    <row r="226">
      <c r="A226" s="6">
        <v>1.5</v>
      </c>
      <c r="B226" s="6" t="s">
        <v>37</v>
      </c>
      <c r="C226" s="6" t="s">
        <v>15</v>
      </c>
      <c r="D226" s="7">
        <v>1.0</v>
      </c>
      <c r="E226" s="6" t="s">
        <v>16</v>
      </c>
      <c r="F226" s="8">
        <v>5.875</v>
      </c>
      <c r="G226" s="7">
        <v>780378.0</v>
      </c>
      <c r="H226" s="9">
        <v>62.79</v>
      </c>
      <c r="I226" s="10">
        <v>0.35859454545454544</v>
      </c>
    </row>
    <row r="227">
      <c r="A227" s="6">
        <v>1.5</v>
      </c>
      <c r="B227" s="6" t="s">
        <v>37</v>
      </c>
      <c r="C227" s="6" t="s">
        <v>17</v>
      </c>
      <c r="D227" s="7">
        <v>2.0</v>
      </c>
      <c r="E227" s="6" t="s">
        <v>18</v>
      </c>
      <c r="F227" s="8">
        <v>6.429</v>
      </c>
      <c r="G227" s="7">
        <v>106001.0</v>
      </c>
      <c r="H227" s="9">
        <v>8.53</v>
      </c>
      <c r="I227" s="10">
        <v>0.052059545454545456</v>
      </c>
    </row>
    <row r="228">
      <c r="A228" s="6">
        <v>1.5</v>
      </c>
      <c r="B228" s="6" t="s">
        <v>37</v>
      </c>
      <c r="C228" s="6"/>
      <c r="D228" s="7">
        <v>2.0</v>
      </c>
      <c r="E228" s="6" t="s">
        <v>19</v>
      </c>
      <c r="F228" s="8">
        <v>6.657</v>
      </c>
      <c r="G228" s="7">
        <v>5682.0</v>
      </c>
      <c r="H228" s="9">
        <v>0.46</v>
      </c>
      <c r="I228" s="10">
        <v>0.00646</v>
      </c>
    </row>
    <row r="229">
      <c r="A229" s="6">
        <v>1.5</v>
      </c>
      <c r="B229" s="6" t="s">
        <v>37</v>
      </c>
      <c r="C229" s="6"/>
      <c r="D229" s="7">
        <v>3.0</v>
      </c>
      <c r="E229" s="6" t="s">
        <v>20</v>
      </c>
      <c r="F229" s="8">
        <v>7.155</v>
      </c>
      <c r="G229" s="7">
        <v>3300.0</v>
      </c>
      <c r="H229" s="9">
        <v>0.27</v>
      </c>
      <c r="I229" s="10">
        <v>0.005377272727272727</v>
      </c>
    </row>
    <row r="230">
      <c r="A230" s="6">
        <v>1.5</v>
      </c>
      <c r="B230" s="6" t="s">
        <v>41</v>
      </c>
      <c r="C230" s="6" t="s">
        <v>10</v>
      </c>
      <c r="D230" s="7">
        <v>0.0</v>
      </c>
      <c r="E230" s="6" t="s">
        <v>11</v>
      </c>
      <c r="F230" s="8">
        <v>4.753</v>
      </c>
      <c r="G230" s="7">
        <v>248651.0</v>
      </c>
      <c r="H230" s="9">
        <v>21.8</v>
      </c>
      <c r="I230" s="10">
        <v>0.11690045454545454</v>
      </c>
    </row>
    <row r="231">
      <c r="A231" s="6">
        <v>1.5</v>
      </c>
      <c r="B231" s="6" t="s">
        <v>41</v>
      </c>
      <c r="C231" s="6" t="s">
        <v>13</v>
      </c>
      <c r="D231" s="7">
        <v>1.0</v>
      </c>
      <c r="E231" s="6" t="s">
        <v>14</v>
      </c>
      <c r="F231" s="8">
        <v>5.752</v>
      </c>
      <c r="G231" s="7">
        <v>20712.0</v>
      </c>
      <c r="H231" s="9">
        <v>1.82</v>
      </c>
      <c r="I231" s="10">
        <v>0.013291818181818182</v>
      </c>
    </row>
    <row r="232">
      <c r="A232" s="6">
        <v>1.5</v>
      </c>
      <c r="B232" s="6" t="s">
        <v>41</v>
      </c>
      <c r="C232" s="6" t="s">
        <v>15</v>
      </c>
      <c r="D232" s="7">
        <v>1.0</v>
      </c>
      <c r="E232" s="6" t="s">
        <v>16</v>
      </c>
      <c r="F232" s="8">
        <v>5.877</v>
      </c>
      <c r="G232" s="7">
        <v>740067.0</v>
      </c>
      <c r="H232" s="9">
        <v>64.87</v>
      </c>
      <c r="I232" s="10">
        <v>0.3402713636363636</v>
      </c>
    </row>
    <row r="233">
      <c r="A233" s="6">
        <v>1.5</v>
      </c>
      <c r="B233" s="6" t="s">
        <v>41</v>
      </c>
      <c r="C233" s="6" t="s">
        <v>17</v>
      </c>
      <c r="D233" s="7">
        <v>2.0</v>
      </c>
      <c r="E233" s="6" t="s">
        <v>18</v>
      </c>
      <c r="F233" s="8">
        <v>6.432</v>
      </c>
      <c r="G233" s="7">
        <v>100463.0</v>
      </c>
      <c r="H233" s="9">
        <v>8.81</v>
      </c>
      <c r="I233" s="10">
        <v>0.049542272727272726</v>
      </c>
    </row>
    <row r="234">
      <c r="A234" s="6">
        <v>1.5</v>
      </c>
      <c r="B234" s="6" t="s">
        <v>41</v>
      </c>
      <c r="C234" s="6"/>
      <c r="D234" s="7">
        <v>2.0</v>
      </c>
      <c r="E234" s="6" t="s">
        <v>19</v>
      </c>
      <c r="F234" s="8">
        <v>6.659</v>
      </c>
      <c r="G234" s="7">
        <v>5630.0</v>
      </c>
      <c r="H234" s="9">
        <v>0.49</v>
      </c>
      <c r="I234" s="10">
        <v>0.006436363636363637</v>
      </c>
    </row>
    <row r="235">
      <c r="A235" s="6">
        <v>1.5</v>
      </c>
      <c r="B235" s="6" t="s">
        <v>41</v>
      </c>
      <c r="C235" s="6"/>
      <c r="D235" s="7">
        <v>3.0</v>
      </c>
      <c r="E235" s="6" t="s">
        <v>20</v>
      </c>
      <c r="F235" s="8">
        <v>7.155</v>
      </c>
      <c r="G235" s="7">
        <v>2861.0</v>
      </c>
      <c r="H235" s="9">
        <v>0.25</v>
      </c>
      <c r="I235" s="10">
        <v>0.005177727272727273</v>
      </c>
    </row>
    <row r="236">
      <c r="A236" s="6">
        <v>1.5</v>
      </c>
      <c r="B236" s="6" t="s">
        <v>38</v>
      </c>
      <c r="C236" s="6" t="s">
        <v>10</v>
      </c>
      <c r="D236" s="7">
        <v>0.0</v>
      </c>
      <c r="E236" s="6" t="s">
        <v>11</v>
      </c>
      <c r="F236" s="8">
        <v>4.752</v>
      </c>
      <c r="G236" s="7">
        <v>238515.0</v>
      </c>
      <c r="H236" s="9">
        <v>21.6</v>
      </c>
      <c r="I236" s="10">
        <v>0.11229318181818182</v>
      </c>
    </row>
    <row r="237">
      <c r="A237" s="6">
        <v>1.5</v>
      </c>
      <c r="B237" s="6" t="s">
        <v>38</v>
      </c>
      <c r="C237" s="6" t="s">
        <v>13</v>
      </c>
      <c r="D237" s="7">
        <v>1.0</v>
      </c>
      <c r="E237" s="6" t="s">
        <v>14</v>
      </c>
      <c r="F237" s="8">
        <v>5.753</v>
      </c>
      <c r="G237" s="7">
        <v>20060.0</v>
      </c>
      <c r="H237" s="9">
        <v>1.82</v>
      </c>
      <c r="I237" s="10">
        <v>0.012995454545454546</v>
      </c>
    </row>
    <row r="238">
      <c r="A238" s="6">
        <v>1.5</v>
      </c>
      <c r="B238" s="6" t="s">
        <v>38</v>
      </c>
      <c r="C238" s="6" t="s">
        <v>15</v>
      </c>
      <c r="D238" s="7">
        <v>1.0</v>
      </c>
      <c r="E238" s="6" t="s">
        <v>16</v>
      </c>
      <c r="F238" s="8">
        <v>5.877</v>
      </c>
      <c r="G238" s="7">
        <v>716664.0</v>
      </c>
      <c r="H238" s="9">
        <v>64.9</v>
      </c>
      <c r="I238" s="10">
        <v>0.32963363636363635</v>
      </c>
    </row>
    <row r="239">
      <c r="A239" s="6">
        <v>1.5</v>
      </c>
      <c r="B239" s="6" t="s">
        <v>38</v>
      </c>
      <c r="C239" s="6" t="s">
        <v>17</v>
      </c>
      <c r="D239" s="7">
        <v>2.0</v>
      </c>
      <c r="E239" s="6" t="s">
        <v>18</v>
      </c>
      <c r="F239" s="8">
        <v>6.43</v>
      </c>
      <c r="G239" s="7">
        <v>97781.0</v>
      </c>
      <c r="H239" s="9">
        <v>8.85</v>
      </c>
      <c r="I239" s="10">
        <v>0.04832318181818182</v>
      </c>
    </row>
    <row r="240">
      <c r="A240" s="6">
        <v>1.5</v>
      </c>
      <c r="B240" s="6" t="s">
        <v>38</v>
      </c>
      <c r="C240" s="6"/>
      <c r="D240" s="7">
        <v>2.0</v>
      </c>
      <c r="E240" s="6" t="s">
        <v>19</v>
      </c>
      <c r="F240" s="8">
        <v>6.659</v>
      </c>
      <c r="G240" s="7">
        <v>5996.0</v>
      </c>
      <c r="H240" s="9">
        <v>0.54</v>
      </c>
      <c r="I240" s="10">
        <v>0.006602727272727273</v>
      </c>
    </row>
    <row r="241">
      <c r="A241" s="6">
        <v>1.5</v>
      </c>
      <c r="B241" s="6" t="s">
        <v>38</v>
      </c>
      <c r="C241" s="6"/>
      <c r="D241" s="7">
        <v>3.0</v>
      </c>
      <c r="E241" s="6" t="s">
        <v>20</v>
      </c>
      <c r="F241" s="8">
        <v>7.156</v>
      </c>
      <c r="G241" s="7">
        <v>2626.0</v>
      </c>
      <c r="H241" s="9">
        <v>0.24</v>
      </c>
      <c r="I241" s="10">
        <v>0.005070909090909091</v>
      </c>
    </row>
    <row r="242">
      <c r="A242" s="6">
        <v>2.0</v>
      </c>
      <c r="B242" s="6" t="s">
        <v>9</v>
      </c>
      <c r="C242" s="6" t="s">
        <v>10</v>
      </c>
      <c r="D242" s="7">
        <v>0.0</v>
      </c>
      <c r="E242" s="6" t="s">
        <v>11</v>
      </c>
      <c r="F242" s="8">
        <v>4.715</v>
      </c>
      <c r="G242" s="7">
        <v>1054485.0</v>
      </c>
      <c r="H242" s="9">
        <v>99.34</v>
      </c>
      <c r="I242" s="10">
        <v>0.48318863636363635</v>
      </c>
    </row>
    <row r="243">
      <c r="A243" s="6">
        <v>2.0</v>
      </c>
      <c r="B243" s="6" t="s">
        <v>12</v>
      </c>
      <c r="C243" s="6" t="s">
        <v>10</v>
      </c>
      <c r="D243" s="7">
        <v>0.0</v>
      </c>
      <c r="E243" s="6" t="s">
        <v>11</v>
      </c>
      <c r="F243" s="6">
        <v>4.728</v>
      </c>
      <c r="G243" s="7">
        <v>360279.0</v>
      </c>
      <c r="H243" s="9">
        <v>32.03</v>
      </c>
      <c r="I243" s="10">
        <v>0.16764045454545454</v>
      </c>
    </row>
    <row r="244">
      <c r="A244" s="6">
        <v>2.0</v>
      </c>
      <c r="B244" s="6" t="s">
        <v>12</v>
      </c>
      <c r="C244" s="6" t="s">
        <v>13</v>
      </c>
      <c r="D244" s="7">
        <v>1.0</v>
      </c>
      <c r="E244" s="6" t="s">
        <v>14</v>
      </c>
      <c r="F244" s="6">
        <v>5.753</v>
      </c>
      <c r="G244" s="7">
        <v>18787.0</v>
      </c>
      <c r="H244" s="9">
        <v>1.67</v>
      </c>
      <c r="I244" s="10">
        <v>0.012416818181818182</v>
      </c>
    </row>
    <row r="245">
      <c r="A245" s="6">
        <v>2.0</v>
      </c>
      <c r="B245" s="6" t="s">
        <v>12</v>
      </c>
      <c r="C245" s="6" t="s">
        <v>15</v>
      </c>
      <c r="D245" s="7">
        <v>1.0</v>
      </c>
      <c r="E245" s="6" t="s">
        <v>16</v>
      </c>
      <c r="F245" s="6">
        <v>5.876</v>
      </c>
      <c r="G245" s="7">
        <v>670976.0</v>
      </c>
      <c r="H245" s="9">
        <v>59.65</v>
      </c>
      <c r="I245" s="10">
        <v>0.30886636363636366</v>
      </c>
    </row>
    <row r="246">
      <c r="A246" s="6">
        <v>2.0</v>
      </c>
      <c r="B246" s="6" t="s">
        <v>12</v>
      </c>
      <c r="C246" s="6" t="s">
        <v>17</v>
      </c>
      <c r="D246" s="7">
        <v>2.0</v>
      </c>
      <c r="E246" s="6" t="s">
        <v>18</v>
      </c>
      <c r="F246" s="6">
        <v>6.429</v>
      </c>
      <c r="G246" s="7">
        <v>58889.0</v>
      </c>
      <c r="H246" s="9">
        <v>5.23</v>
      </c>
      <c r="I246" s="10">
        <v>0.030645</v>
      </c>
    </row>
    <row r="247">
      <c r="A247" s="6">
        <v>2.0</v>
      </c>
      <c r="B247" s="6" t="s">
        <v>12</v>
      </c>
      <c r="C247" s="6"/>
      <c r="D247" s="7">
        <v>2.0</v>
      </c>
      <c r="E247" s="6" t="s">
        <v>19</v>
      </c>
      <c r="F247" s="6">
        <v>6.657</v>
      </c>
      <c r="G247" s="7">
        <v>1331.0</v>
      </c>
      <c r="H247" s="9">
        <v>0.12</v>
      </c>
      <c r="I247" s="10">
        <v>0.004482272727272727</v>
      </c>
    </row>
    <row r="248">
      <c r="A248" s="6">
        <v>2.0</v>
      </c>
      <c r="B248" s="6" t="s">
        <v>12</v>
      </c>
      <c r="C248" s="6"/>
      <c r="D248" s="7">
        <v>2.0</v>
      </c>
      <c r="E248" s="6" t="s">
        <v>22</v>
      </c>
      <c r="F248" s="6">
        <v>6.718</v>
      </c>
      <c r="G248" s="7">
        <v>24.0</v>
      </c>
      <c r="H248" s="9">
        <v>0.0</v>
      </c>
      <c r="I248" s="10">
        <v>0.003888181818181818</v>
      </c>
    </row>
    <row r="249">
      <c r="A249" s="6">
        <v>2.0</v>
      </c>
      <c r="B249" s="6" t="s">
        <v>12</v>
      </c>
      <c r="C249" s="6"/>
      <c r="D249" s="7">
        <v>3.0</v>
      </c>
      <c r="E249" s="6" t="s">
        <v>20</v>
      </c>
      <c r="F249" s="6">
        <v>7.202</v>
      </c>
      <c r="G249" s="7">
        <v>8235.0</v>
      </c>
      <c r="H249" s="9">
        <v>0.73</v>
      </c>
      <c r="I249" s="10">
        <v>0.007620454545454546</v>
      </c>
    </row>
    <row r="250">
      <c r="A250" s="6">
        <v>2.0</v>
      </c>
      <c r="B250" s="6" t="s">
        <v>21</v>
      </c>
      <c r="C250" s="6" t="s">
        <v>10</v>
      </c>
      <c r="D250" s="7">
        <v>0.0</v>
      </c>
      <c r="E250" s="6" t="s">
        <v>11</v>
      </c>
      <c r="F250" s="6">
        <v>4.732</v>
      </c>
      <c r="G250" s="7">
        <v>166506.0</v>
      </c>
      <c r="H250" s="9">
        <v>15.48</v>
      </c>
      <c r="I250" s="10">
        <v>0.07956181818181818</v>
      </c>
    </row>
    <row r="251">
      <c r="A251" s="6">
        <v>2.0</v>
      </c>
      <c r="B251" s="6" t="s">
        <v>21</v>
      </c>
      <c r="C251" s="6" t="s">
        <v>13</v>
      </c>
      <c r="D251" s="7">
        <v>1.0</v>
      </c>
      <c r="E251" s="6" t="s">
        <v>14</v>
      </c>
      <c r="F251" s="6">
        <v>5.753</v>
      </c>
      <c r="G251" s="7">
        <v>13266.0</v>
      </c>
      <c r="H251" s="9">
        <v>1.23</v>
      </c>
      <c r="I251" s="10">
        <v>0.009907272727272728</v>
      </c>
    </row>
    <row r="252">
      <c r="A252" s="6">
        <v>2.0</v>
      </c>
      <c r="B252" s="6" t="s">
        <v>21</v>
      </c>
      <c r="C252" s="6" t="s">
        <v>15</v>
      </c>
      <c r="D252" s="7">
        <v>1.0</v>
      </c>
      <c r="E252" s="6" t="s">
        <v>16</v>
      </c>
      <c r="F252" s="6">
        <v>5.878</v>
      </c>
      <c r="G252" s="7">
        <v>753693.0</v>
      </c>
      <c r="H252" s="9">
        <v>70.09</v>
      </c>
      <c r="I252" s="10">
        <v>0.346465</v>
      </c>
    </row>
    <row r="253">
      <c r="A253" s="6">
        <v>2.0</v>
      </c>
      <c r="B253" s="6" t="s">
        <v>21</v>
      </c>
      <c r="C253" s="6" t="s">
        <v>17</v>
      </c>
      <c r="D253" s="7">
        <v>2.0</v>
      </c>
      <c r="E253" s="6" t="s">
        <v>18</v>
      </c>
      <c r="F253" s="6">
        <v>6.43</v>
      </c>
      <c r="G253" s="7">
        <v>114768.0</v>
      </c>
      <c r="H253" s="9">
        <v>10.67</v>
      </c>
      <c r="I253" s="10">
        <v>0.05604454545454546</v>
      </c>
    </row>
    <row r="254">
      <c r="A254" s="6">
        <v>2.0</v>
      </c>
      <c r="B254" s="6" t="s">
        <v>21</v>
      </c>
      <c r="C254" s="6"/>
      <c r="D254" s="7">
        <v>2.0</v>
      </c>
      <c r="E254" s="6" t="s">
        <v>19</v>
      </c>
      <c r="F254" s="6">
        <v>6.656</v>
      </c>
      <c r="G254" s="7">
        <v>2525.0</v>
      </c>
      <c r="H254" s="9">
        <v>0.23</v>
      </c>
      <c r="I254" s="10">
        <v>0.005025</v>
      </c>
    </row>
    <row r="255">
      <c r="A255" s="6">
        <v>2.0</v>
      </c>
      <c r="B255" s="6" t="s">
        <v>21</v>
      </c>
      <c r="C255" s="6"/>
      <c r="D255" s="7">
        <v>2.0</v>
      </c>
      <c r="E255" s="6" t="s">
        <v>22</v>
      </c>
      <c r="F255" s="6">
        <v>6.718</v>
      </c>
      <c r="G255" s="7">
        <v>194.0</v>
      </c>
      <c r="H255" s="9">
        <v>0.02</v>
      </c>
      <c r="I255" s="10">
        <v>0.0039654545454545454</v>
      </c>
    </row>
    <row r="256">
      <c r="A256" s="6">
        <v>2.0</v>
      </c>
      <c r="B256" s="6" t="s">
        <v>21</v>
      </c>
      <c r="C256" s="6"/>
      <c r="D256" s="7">
        <v>3.0</v>
      </c>
      <c r="E256" s="6" t="s">
        <v>20</v>
      </c>
      <c r="F256" s="6">
        <v>7.201</v>
      </c>
      <c r="G256" s="7">
        <v>17462.0</v>
      </c>
      <c r="H256" s="9">
        <v>1.62</v>
      </c>
      <c r="I256" s="10">
        <v>0.011814545454545454</v>
      </c>
    </row>
    <row r="257">
      <c r="A257" s="6">
        <v>2.0</v>
      </c>
      <c r="B257" s="6" t="s">
        <v>23</v>
      </c>
      <c r="C257" s="6" t="s">
        <v>10</v>
      </c>
      <c r="D257" s="7">
        <v>0.0</v>
      </c>
      <c r="E257" s="6" t="s">
        <v>11</v>
      </c>
      <c r="F257" s="6">
        <v>4.74</v>
      </c>
      <c r="G257" s="7">
        <v>110485.0</v>
      </c>
      <c r="H257" s="9">
        <v>9.92</v>
      </c>
      <c r="I257" s="10">
        <v>0.05409772727272727</v>
      </c>
    </row>
    <row r="258">
      <c r="A258" s="6">
        <v>2.0</v>
      </c>
      <c r="B258" s="6" t="s">
        <v>23</v>
      </c>
      <c r="C258" s="6" t="s">
        <v>13</v>
      </c>
      <c r="D258" s="7">
        <v>1.0</v>
      </c>
      <c r="E258" s="6" t="s">
        <v>14</v>
      </c>
      <c r="F258" s="6">
        <v>5.755</v>
      </c>
      <c r="G258" s="7">
        <v>9855.0</v>
      </c>
      <c r="H258" s="9">
        <v>0.88</v>
      </c>
      <c r="I258" s="10">
        <v>0.008356818181818182</v>
      </c>
    </row>
    <row r="259">
      <c r="A259" s="6">
        <v>2.0</v>
      </c>
      <c r="B259" s="6" t="s">
        <v>23</v>
      </c>
      <c r="C259" s="6" t="s">
        <v>15</v>
      </c>
      <c r="D259" s="7">
        <v>1.0</v>
      </c>
      <c r="E259" s="6" t="s">
        <v>16</v>
      </c>
      <c r="F259" s="6">
        <v>5.881</v>
      </c>
      <c r="G259" s="7">
        <v>823758.0</v>
      </c>
      <c r="H259" s="9">
        <v>73.93</v>
      </c>
      <c r="I259" s="10">
        <v>0.37831272727272724</v>
      </c>
    </row>
    <row r="260">
      <c r="A260" s="6">
        <v>2.0</v>
      </c>
      <c r="B260" s="6" t="s">
        <v>23</v>
      </c>
      <c r="C260" s="6" t="s">
        <v>17</v>
      </c>
      <c r="D260" s="7">
        <v>2.0</v>
      </c>
      <c r="E260" s="6" t="s">
        <v>18</v>
      </c>
      <c r="F260" s="6">
        <v>6.432</v>
      </c>
      <c r="G260" s="7">
        <v>140986.0</v>
      </c>
      <c r="H260" s="9">
        <v>12.65</v>
      </c>
      <c r="I260" s="10">
        <v>0.06796181818181818</v>
      </c>
    </row>
    <row r="261">
      <c r="A261" s="6">
        <v>2.0</v>
      </c>
      <c r="B261" s="6" t="s">
        <v>23</v>
      </c>
      <c r="C261" s="6"/>
      <c r="D261" s="7">
        <v>2.0</v>
      </c>
      <c r="E261" s="6" t="s">
        <v>19</v>
      </c>
      <c r="F261" s="6">
        <v>6.657</v>
      </c>
      <c r="G261" s="7">
        <v>3360.0</v>
      </c>
      <c r="H261" s="9">
        <v>0.3</v>
      </c>
      <c r="I261" s="10">
        <v>0.005404545454545454</v>
      </c>
    </row>
    <row r="262">
      <c r="A262" s="6">
        <v>2.0</v>
      </c>
      <c r="B262" s="6" t="s">
        <v>23</v>
      </c>
      <c r="C262" s="6"/>
      <c r="D262" s="7">
        <v>2.0</v>
      </c>
      <c r="E262" s="6" t="s">
        <v>22</v>
      </c>
      <c r="F262" s="6">
        <v>6.718</v>
      </c>
      <c r="G262" s="7">
        <v>222.0</v>
      </c>
      <c r="H262" s="9">
        <v>0.02</v>
      </c>
      <c r="I262" s="10">
        <v>0.003978181818181818</v>
      </c>
    </row>
    <row r="263">
      <c r="A263" s="6">
        <v>2.0</v>
      </c>
      <c r="B263" s="6" t="s">
        <v>23</v>
      </c>
      <c r="C263" s="6"/>
      <c r="D263" s="7">
        <v>3.0</v>
      </c>
      <c r="E263" s="6" t="s">
        <v>20</v>
      </c>
      <c r="F263" s="6">
        <v>7.204</v>
      </c>
      <c r="G263" s="7">
        <v>14296.0</v>
      </c>
      <c r="H263" s="9">
        <v>1.28</v>
      </c>
      <c r="I263" s="10">
        <v>0.010375454545454545</v>
      </c>
    </row>
    <row r="264">
      <c r="A264" s="6">
        <v>2.0</v>
      </c>
      <c r="B264" s="6" t="s">
        <v>24</v>
      </c>
      <c r="C264" s="6" t="s">
        <v>10</v>
      </c>
      <c r="D264" s="7">
        <v>0.0</v>
      </c>
      <c r="E264" s="6" t="s">
        <v>11</v>
      </c>
      <c r="F264" s="6">
        <v>4.742</v>
      </c>
      <c r="G264" s="7">
        <v>78871.0</v>
      </c>
      <c r="H264" s="9">
        <v>7.19</v>
      </c>
      <c r="I264" s="10">
        <v>0.039727727272727276</v>
      </c>
    </row>
    <row r="265">
      <c r="A265" s="6">
        <v>2.0</v>
      </c>
      <c r="B265" s="6" t="s">
        <v>24</v>
      </c>
      <c r="C265" s="6" t="s">
        <v>13</v>
      </c>
      <c r="D265" s="7">
        <v>1.0</v>
      </c>
      <c r="E265" s="6" t="s">
        <v>14</v>
      </c>
      <c r="F265" s="8">
        <v>5.755</v>
      </c>
      <c r="G265" s="7">
        <v>8490.0</v>
      </c>
      <c r="H265" s="9">
        <v>0.77</v>
      </c>
      <c r="I265" s="10">
        <v>0.007736363636363637</v>
      </c>
    </row>
    <row r="266">
      <c r="A266" s="6">
        <v>2.0</v>
      </c>
      <c r="B266" s="6" t="s">
        <v>24</v>
      </c>
      <c r="C266" s="6" t="s">
        <v>15</v>
      </c>
      <c r="D266" s="7">
        <v>1.0</v>
      </c>
      <c r="E266" s="6" t="s">
        <v>16</v>
      </c>
      <c r="F266" s="8">
        <v>5.881</v>
      </c>
      <c r="G266" s="7">
        <v>816770.0</v>
      </c>
      <c r="H266" s="9">
        <v>74.49</v>
      </c>
      <c r="I266" s="10">
        <v>0.37513636363636366</v>
      </c>
    </row>
    <row r="267">
      <c r="A267" s="6">
        <v>2.0</v>
      </c>
      <c r="B267" s="6" t="s">
        <v>24</v>
      </c>
      <c r="C267" s="6" t="s">
        <v>17</v>
      </c>
      <c r="D267" s="7">
        <v>2.0</v>
      </c>
      <c r="E267" s="6" t="s">
        <v>18</v>
      </c>
      <c r="F267" s="8">
        <v>6.434</v>
      </c>
      <c r="G267" s="7">
        <v>174331.0</v>
      </c>
      <c r="H267" s="9">
        <v>15.9</v>
      </c>
      <c r="I267" s="10">
        <v>0.08311863636363637</v>
      </c>
    </row>
    <row r="268">
      <c r="A268" s="6">
        <v>2.0</v>
      </c>
      <c r="B268" s="6" t="s">
        <v>24</v>
      </c>
      <c r="C268" s="6"/>
      <c r="D268" s="7">
        <v>2.0</v>
      </c>
      <c r="E268" s="6" t="s">
        <v>19</v>
      </c>
      <c r="F268" s="8">
        <v>6.658</v>
      </c>
      <c r="G268" s="7">
        <v>4206.0</v>
      </c>
      <c r="H268" s="9">
        <v>0.38</v>
      </c>
      <c r="I268" s="10">
        <v>0.005789090909090909</v>
      </c>
    </row>
    <row r="269">
      <c r="A269" s="6">
        <v>2.0</v>
      </c>
      <c r="B269" s="6" t="s">
        <v>24</v>
      </c>
      <c r="C269" s="6"/>
      <c r="D269" s="7">
        <v>2.0</v>
      </c>
      <c r="E269" s="6" t="s">
        <v>22</v>
      </c>
      <c r="F269" s="8">
        <v>6.718</v>
      </c>
      <c r="G269" s="7">
        <v>303.0</v>
      </c>
      <c r="H269" s="9">
        <v>0.03</v>
      </c>
      <c r="I269" s="10">
        <v>0.004015</v>
      </c>
    </row>
    <row r="270">
      <c r="A270" s="6">
        <v>2.0</v>
      </c>
      <c r="B270" s="6" t="s">
        <v>24</v>
      </c>
      <c r="C270" s="6"/>
      <c r="D270" s="7">
        <v>3.0</v>
      </c>
      <c r="E270" s="6" t="s">
        <v>20</v>
      </c>
      <c r="F270" s="8">
        <v>7.202</v>
      </c>
      <c r="G270" s="7">
        <v>5144.0</v>
      </c>
      <c r="H270" s="9">
        <v>0.47</v>
      </c>
      <c r="I270" s="10">
        <v>0.006215454545454546</v>
      </c>
    </row>
    <row r="271">
      <c r="A271" s="6">
        <v>2.0</v>
      </c>
      <c r="B271" s="6" t="s">
        <v>25</v>
      </c>
      <c r="C271" s="6" t="s">
        <v>10</v>
      </c>
      <c r="D271" s="7">
        <v>0.0</v>
      </c>
      <c r="E271" s="6" t="s">
        <v>11</v>
      </c>
      <c r="F271" s="6">
        <v>4.742</v>
      </c>
      <c r="G271" s="7">
        <v>64493.0</v>
      </c>
      <c r="H271" s="9">
        <v>5.82</v>
      </c>
      <c r="I271" s="10">
        <v>0.03319227272727273</v>
      </c>
    </row>
    <row r="272">
      <c r="A272" s="6">
        <v>2.0</v>
      </c>
      <c r="B272" s="6" t="s">
        <v>25</v>
      </c>
      <c r="C272" s="6" t="s">
        <v>13</v>
      </c>
      <c r="D272" s="7">
        <v>1.0</v>
      </c>
      <c r="E272" s="6" t="s">
        <v>14</v>
      </c>
      <c r="F272" s="6">
        <v>5.755</v>
      </c>
      <c r="G272" s="7">
        <v>7366.0</v>
      </c>
      <c r="H272" s="9">
        <v>0.66</v>
      </c>
      <c r="I272" s="10">
        <v>0.007225454545454545</v>
      </c>
    </row>
    <row r="273">
      <c r="A273" s="6">
        <v>2.0</v>
      </c>
      <c r="B273" s="6" t="s">
        <v>25</v>
      </c>
      <c r="C273" s="6" t="s">
        <v>15</v>
      </c>
      <c r="D273" s="7">
        <v>1.0</v>
      </c>
      <c r="E273" s="6" t="s">
        <v>16</v>
      </c>
      <c r="F273" s="6">
        <v>5.882</v>
      </c>
      <c r="G273" s="7">
        <v>823915.0</v>
      </c>
      <c r="H273" s="9">
        <v>74.34</v>
      </c>
      <c r="I273" s="10">
        <v>0.3783840909090909</v>
      </c>
    </row>
    <row r="274">
      <c r="A274" s="6">
        <v>2.0</v>
      </c>
      <c r="B274" s="6" t="s">
        <v>25</v>
      </c>
      <c r="C274" s="6" t="s">
        <v>17</v>
      </c>
      <c r="D274" s="7">
        <v>2.0</v>
      </c>
      <c r="E274" s="6" t="s">
        <v>18</v>
      </c>
      <c r="F274" s="6">
        <v>6.435</v>
      </c>
      <c r="G274" s="7">
        <v>182752.0</v>
      </c>
      <c r="H274" s="9">
        <v>16.49</v>
      </c>
      <c r="I274" s="10">
        <v>0.08694636363636364</v>
      </c>
    </row>
    <row r="275">
      <c r="A275" s="6">
        <v>2.0</v>
      </c>
      <c r="B275" s="6" t="s">
        <v>25</v>
      </c>
      <c r="C275" s="6"/>
      <c r="D275" s="7">
        <v>2.0</v>
      </c>
      <c r="E275" s="6" t="s">
        <v>19</v>
      </c>
      <c r="F275" s="6">
        <v>6.659</v>
      </c>
      <c r="G275" s="7">
        <v>4350.0</v>
      </c>
      <c r="H275" s="9">
        <v>0.39</v>
      </c>
      <c r="I275" s="10">
        <v>0.005854545454545454</v>
      </c>
    </row>
    <row r="276">
      <c r="A276" s="6">
        <v>2.0</v>
      </c>
      <c r="B276" s="6" t="s">
        <v>25</v>
      </c>
      <c r="C276" s="6"/>
      <c r="D276" s="7">
        <v>2.0</v>
      </c>
      <c r="E276" s="6" t="s">
        <v>22</v>
      </c>
      <c r="F276" s="6">
        <v>6.718</v>
      </c>
      <c r="G276" s="7">
        <v>305.0</v>
      </c>
      <c r="H276" s="9">
        <v>0.03</v>
      </c>
      <c r="I276" s="10">
        <v>0.004015909090909091</v>
      </c>
    </row>
    <row r="277">
      <c r="A277" s="6">
        <v>2.0</v>
      </c>
      <c r="B277" s="6" t="s">
        <v>25</v>
      </c>
      <c r="C277" s="6"/>
      <c r="D277" s="7">
        <v>3.0</v>
      </c>
      <c r="E277" s="6" t="s">
        <v>20</v>
      </c>
      <c r="F277" s="6">
        <v>7.204</v>
      </c>
      <c r="G277" s="7">
        <v>9447.0</v>
      </c>
      <c r="H277" s="9">
        <v>0.85</v>
      </c>
      <c r="I277" s="10">
        <v>0.008171363636363636</v>
      </c>
    </row>
    <row r="278">
      <c r="A278" s="6">
        <v>2.0</v>
      </c>
      <c r="B278" s="6" t="s">
        <v>26</v>
      </c>
      <c r="C278" s="6" t="s">
        <v>10</v>
      </c>
      <c r="D278" s="7">
        <v>0.0</v>
      </c>
      <c r="E278" s="6" t="s">
        <v>11</v>
      </c>
      <c r="F278" s="6">
        <v>4.744</v>
      </c>
      <c r="G278" s="7">
        <v>47885.0</v>
      </c>
      <c r="H278" s="9">
        <v>4.55</v>
      </c>
      <c r="I278" s="10">
        <v>0.02564318181818182</v>
      </c>
    </row>
    <row r="279">
      <c r="A279" s="6">
        <v>2.0</v>
      </c>
      <c r="B279" s="6" t="s">
        <v>26</v>
      </c>
      <c r="C279" s="6" t="s">
        <v>13</v>
      </c>
      <c r="D279" s="7">
        <v>1.0</v>
      </c>
      <c r="E279" s="6" t="s">
        <v>14</v>
      </c>
      <c r="F279" s="6">
        <v>5.756</v>
      </c>
      <c r="G279" s="7">
        <v>6129.0</v>
      </c>
      <c r="H279" s="9">
        <v>0.58</v>
      </c>
      <c r="I279" s="10">
        <v>0.006663181818181818</v>
      </c>
    </row>
    <row r="280">
      <c r="A280" s="6">
        <v>2.0</v>
      </c>
      <c r="B280" s="6" t="s">
        <v>26</v>
      </c>
      <c r="C280" s="6" t="s">
        <v>15</v>
      </c>
      <c r="D280" s="7">
        <v>1.0</v>
      </c>
      <c r="E280" s="6" t="s">
        <v>16</v>
      </c>
      <c r="F280" s="6">
        <v>5.882</v>
      </c>
      <c r="G280" s="7">
        <v>786731.0</v>
      </c>
      <c r="H280" s="9">
        <v>74.78</v>
      </c>
      <c r="I280" s="10">
        <v>0.36148227272727274</v>
      </c>
    </row>
    <row r="281">
      <c r="A281" s="6">
        <v>2.0</v>
      </c>
      <c r="B281" s="6" t="s">
        <v>26</v>
      </c>
      <c r="C281" s="6" t="s">
        <v>17</v>
      </c>
      <c r="D281" s="7">
        <v>2.0</v>
      </c>
      <c r="E281" s="6" t="s">
        <v>18</v>
      </c>
      <c r="F281" s="6">
        <v>6.437</v>
      </c>
      <c r="G281" s="7">
        <v>190988.0</v>
      </c>
      <c r="H281" s="9">
        <v>18.15</v>
      </c>
      <c r="I281" s="10">
        <v>0.09069</v>
      </c>
    </row>
    <row r="282">
      <c r="A282" s="6">
        <v>2.0</v>
      </c>
      <c r="B282" s="6" t="s">
        <v>26</v>
      </c>
      <c r="C282" s="6"/>
      <c r="D282" s="7">
        <v>2.0</v>
      </c>
      <c r="E282" s="6" t="s">
        <v>19</v>
      </c>
      <c r="F282" s="6">
        <v>6.658</v>
      </c>
      <c r="G282" s="7">
        <v>4346.0</v>
      </c>
      <c r="H282" s="9">
        <v>0.41</v>
      </c>
      <c r="I282" s="10">
        <v>0.0058527272727272725</v>
      </c>
    </row>
    <row r="283">
      <c r="A283" s="6">
        <v>2.0</v>
      </c>
      <c r="B283" s="6" t="s">
        <v>26</v>
      </c>
      <c r="C283" s="6"/>
      <c r="D283" s="7">
        <v>2.0</v>
      </c>
      <c r="E283" s="6" t="s">
        <v>22</v>
      </c>
      <c r="F283" s="6">
        <v>6.718</v>
      </c>
      <c r="G283" s="7">
        <v>332.0</v>
      </c>
      <c r="H283" s="9">
        <v>0.03</v>
      </c>
      <c r="I283" s="10">
        <v>0.004028181818181818</v>
      </c>
    </row>
    <row r="284">
      <c r="A284" s="6">
        <v>2.0</v>
      </c>
      <c r="B284" s="6" t="s">
        <v>26</v>
      </c>
      <c r="C284" s="6"/>
      <c r="D284" s="7">
        <v>3.0</v>
      </c>
      <c r="E284" s="6" t="s">
        <v>20</v>
      </c>
      <c r="F284" s="6">
        <v>7.204</v>
      </c>
      <c r="G284" s="7">
        <v>5232.0</v>
      </c>
      <c r="H284" s="9">
        <v>0.5</v>
      </c>
      <c r="I284" s="10">
        <v>0.006255454545454546</v>
      </c>
    </row>
    <row r="285">
      <c r="A285" s="6">
        <v>2.0</v>
      </c>
      <c r="B285" s="6" t="s">
        <v>27</v>
      </c>
      <c r="C285" s="6" t="s">
        <v>10</v>
      </c>
      <c r="D285" s="7">
        <v>0.0</v>
      </c>
      <c r="E285" s="6" t="s">
        <v>11</v>
      </c>
      <c r="F285" s="6">
        <v>4.744</v>
      </c>
      <c r="G285" s="7">
        <v>39699.0</v>
      </c>
      <c r="H285" s="9">
        <v>3.71</v>
      </c>
      <c r="I285" s="10">
        <v>0.021922272727272728</v>
      </c>
    </row>
    <row r="286">
      <c r="A286" s="6">
        <v>2.0</v>
      </c>
      <c r="B286" s="6" t="s">
        <v>27</v>
      </c>
      <c r="C286" s="6" t="s">
        <v>13</v>
      </c>
      <c r="D286" s="7">
        <v>1.0</v>
      </c>
      <c r="E286" s="6" t="s">
        <v>14</v>
      </c>
      <c r="F286" s="6">
        <v>5.755</v>
      </c>
      <c r="G286" s="7">
        <v>5509.0</v>
      </c>
      <c r="H286" s="9">
        <v>0.51</v>
      </c>
      <c r="I286" s="10">
        <v>0.006381363636363636</v>
      </c>
    </row>
    <row r="287">
      <c r="A287" s="6">
        <v>2.0</v>
      </c>
      <c r="B287" s="6" t="s">
        <v>27</v>
      </c>
      <c r="C287" s="6" t="s">
        <v>15</v>
      </c>
      <c r="D287" s="7">
        <v>1.0</v>
      </c>
      <c r="E287" s="6" t="s">
        <v>16</v>
      </c>
      <c r="F287" s="6">
        <v>5.881</v>
      </c>
      <c r="G287" s="7">
        <v>791458.0</v>
      </c>
      <c r="H287" s="9">
        <v>73.89</v>
      </c>
      <c r="I287" s="10">
        <v>0.3636309090909091</v>
      </c>
    </row>
    <row r="288">
      <c r="A288" s="6">
        <v>2.0</v>
      </c>
      <c r="B288" s="6" t="s">
        <v>27</v>
      </c>
      <c r="C288" s="6" t="s">
        <v>17</v>
      </c>
      <c r="D288" s="7">
        <v>2.0</v>
      </c>
      <c r="E288" s="6" t="s">
        <v>18</v>
      </c>
      <c r="F288" s="6">
        <v>6.437</v>
      </c>
      <c r="G288" s="7">
        <v>211477.0</v>
      </c>
      <c r="H288" s="9">
        <v>19.74</v>
      </c>
      <c r="I288" s="10">
        <v>0.10000318181818182</v>
      </c>
    </row>
    <row r="289">
      <c r="A289" s="6">
        <v>2.0</v>
      </c>
      <c r="B289" s="6" t="s">
        <v>27</v>
      </c>
      <c r="C289" s="6"/>
      <c r="D289" s="7">
        <v>2.0</v>
      </c>
      <c r="E289" s="6" t="s">
        <v>19</v>
      </c>
      <c r="F289" s="6">
        <v>6.658</v>
      </c>
      <c r="G289" s="7">
        <v>4784.0</v>
      </c>
      <c r="H289" s="9">
        <v>0.45</v>
      </c>
      <c r="I289" s="10">
        <v>0.006051818181818182</v>
      </c>
    </row>
    <row r="290">
      <c r="A290" s="6">
        <v>2.0</v>
      </c>
      <c r="B290" s="6" t="s">
        <v>27</v>
      </c>
      <c r="C290" s="6"/>
      <c r="D290" s="7">
        <v>2.0</v>
      </c>
      <c r="E290" s="6" t="s">
        <v>22</v>
      </c>
      <c r="F290" s="6">
        <v>6.718</v>
      </c>
      <c r="G290" s="7">
        <v>394.0</v>
      </c>
      <c r="H290" s="9">
        <v>0.04</v>
      </c>
      <c r="I290" s="10">
        <v>0.004056363636363637</v>
      </c>
    </row>
    <row r="291">
      <c r="A291" s="6">
        <v>2.0</v>
      </c>
      <c r="B291" s="6" t="s">
        <v>27</v>
      </c>
      <c r="C291" s="6"/>
      <c r="D291" s="7">
        <v>3.0</v>
      </c>
      <c r="E291" s="6" t="s">
        <v>20</v>
      </c>
      <c r="F291" s="6">
        <v>7.205</v>
      </c>
      <c r="G291" s="7">
        <v>6064.0</v>
      </c>
      <c r="H291" s="9">
        <v>0.57</v>
      </c>
      <c r="I291" s="10">
        <v>0.006633636363636363</v>
      </c>
    </row>
    <row r="292">
      <c r="A292" s="6">
        <v>2.0</v>
      </c>
      <c r="B292" s="6" t="s">
        <v>28</v>
      </c>
      <c r="C292" s="6" t="s">
        <v>10</v>
      </c>
      <c r="D292" s="7">
        <v>0.0</v>
      </c>
      <c r="E292" s="6" t="s">
        <v>11</v>
      </c>
      <c r="F292" s="6">
        <v>4.75</v>
      </c>
      <c r="G292" s="7">
        <v>32872.0</v>
      </c>
      <c r="H292" s="9">
        <v>3.28</v>
      </c>
      <c r="I292" s="10">
        <v>0.01881909090909091</v>
      </c>
    </row>
    <row r="293">
      <c r="A293" s="6">
        <v>2.0</v>
      </c>
      <c r="B293" s="6" t="s">
        <v>28</v>
      </c>
      <c r="C293" s="6" t="s">
        <v>13</v>
      </c>
      <c r="D293" s="7">
        <v>1.0</v>
      </c>
      <c r="E293" s="6" t="s">
        <v>14</v>
      </c>
      <c r="F293" s="6">
        <v>5.756</v>
      </c>
      <c r="G293" s="7">
        <v>4697.0</v>
      </c>
      <c r="H293" s="9">
        <v>0.47</v>
      </c>
      <c r="I293" s="10">
        <v>0.006012272727272727</v>
      </c>
    </row>
    <row r="294">
      <c r="A294" s="6">
        <v>2.0</v>
      </c>
      <c r="B294" s="6" t="s">
        <v>28</v>
      </c>
      <c r="C294" s="6" t="s">
        <v>15</v>
      </c>
      <c r="D294" s="7">
        <v>1.0</v>
      </c>
      <c r="E294" s="6" t="s">
        <v>16</v>
      </c>
      <c r="F294" s="6">
        <v>5.881</v>
      </c>
      <c r="G294" s="7">
        <v>739970.0</v>
      </c>
      <c r="H294" s="9">
        <v>73.91</v>
      </c>
      <c r="I294" s="10">
        <v>0.3402272727272727</v>
      </c>
    </row>
    <row r="295">
      <c r="A295" s="6">
        <v>2.0</v>
      </c>
      <c r="B295" s="6" t="s">
        <v>28</v>
      </c>
      <c r="C295" s="6" t="s">
        <v>17</v>
      </c>
      <c r="D295" s="7">
        <v>2.0</v>
      </c>
      <c r="E295" s="6" t="s">
        <v>18</v>
      </c>
      <c r="F295" s="6">
        <v>6.438</v>
      </c>
      <c r="G295" s="7">
        <v>200497.0</v>
      </c>
      <c r="H295" s="9">
        <v>20.03</v>
      </c>
      <c r="I295" s="10">
        <v>0.09501227272727272</v>
      </c>
    </row>
    <row r="296">
      <c r="A296" s="6">
        <v>2.0</v>
      </c>
      <c r="B296" s="6" t="s">
        <v>28</v>
      </c>
      <c r="C296" s="6"/>
      <c r="D296" s="7">
        <v>2.0</v>
      </c>
      <c r="E296" s="6" t="s">
        <v>19</v>
      </c>
      <c r="F296" s="6">
        <v>6.658</v>
      </c>
      <c r="G296" s="7">
        <v>4496.0</v>
      </c>
      <c r="H296" s="9">
        <v>0.45</v>
      </c>
      <c r="I296" s="10">
        <v>0.005920909090909091</v>
      </c>
    </row>
    <row r="297">
      <c r="A297" s="6">
        <v>2.0</v>
      </c>
      <c r="B297" s="6" t="s">
        <v>28</v>
      </c>
      <c r="C297" s="6"/>
      <c r="D297" s="7">
        <v>2.0</v>
      </c>
      <c r="E297" s="6" t="s">
        <v>22</v>
      </c>
      <c r="F297" s="6">
        <v>6.718</v>
      </c>
      <c r="G297" s="7">
        <v>391.0</v>
      </c>
      <c r="H297" s="9">
        <v>0.04</v>
      </c>
      <c r="I297" s="10">
        <v>0.004055</v>
      </c>
    </row>
    <row r="298">
      <c r="A298" s="6">
        <v>2.0</v>
      </c>
      <c r="B298" s="6" t="s">
        <v>28</v>
      </c>
      <c r="C298" s="6"/>
      <c r="D298" s="7">
        <v>3.0</v>
      </c>
      <c r="E298" s="6" t="s">
        <v>20</v>
      </c>
      <c r="F298" s="6">
        <v>7.204</v>
      </c>
      <c r="G298" s="7">
        <v>5981.0</v>
      </c>
      <c r="H298" s="9">
        <v>0.6</v>
      </c>
      <c r="I298" s="10">
        <v>0.006595909090909091</v>
      </c>
    </row>
    <row r="299">
      <c r="A299" s="6">
        <v>2.0</v>
      </c>
      <c r="B299" s="6" t="s">
        <v>29</v>
      </c>
      <c r="C299" s="6" t="s">
        <v>10</v>
      </c>
      <c r="D299" s="7">
        <v>0.0</v>
      </c>
      <c r="E299" s="6" t="s">
        <v>11</v>
      </c>
      <c r="F299" s="6">
        <v>4.753</v>
      </c>
      <c r="G299" s="7">
        <v>31576.0</v>
      </c>
      <c r="H299" s="9">
        <v>2.9</v>
      </c>
      <c r="I299" s="10">
        <v>0.01823</v>
      </c>
    </row>
    <row r="300">
      <c r="A300" s="6">
        <v>2.0</v>
      </c>
      <c r="B300" s="6" t="s">
        <v>29</v>
      </c>
      <c r="C300" s="6" t="s">
        <v>13</v>
      </c>
      <c r="D300" s="7"/>
      <c r="E300" s="6" t="s">
        <v>14</v>
      </c>
      <c r="F300" s="6">
        <v>5.756</v>
      </c>
      <c r="G300" s="7">
        <v>4771.0</v>
      </c>
      <c r="H300" s="9">
        <v>0.44</v>
      </c>
      <c r="I300" s="10">
        <v>0.0060459090909090905</v>
      </c>
    </row>
    <row r="301">
      <c r="A301" s="6">
        <v>2.0</v>
      </c>
      <c r="B301" s="6" t="s">
        <v>29</v>
      </c>
      <c r="C301" s="6" t="s">
        <v>15</v>
      </c>
      <c r="D301" s="7"/>
      <c r="E301" s="6" t="s">
        <v>16</v>
      </c>
      <c r="F301" s="6">
        <v>5.882</v>
      </c>
      <c r="G301" s="7">
        <v>795354.0</v>
      </c>
      <c r="H301" s="9">
        <v>72.96</v>
      </c>
      <c r="I301" s="10">
        <v>0.36540181818181816</v>
      </c>
    </row>
    <row r="302">
      <c r="A302" s="6">
        <v>2.0</v>
      </c>
      <c r="B302" s="6" t="s">
        <v>29</v>
      </c>
      <c r="C302" s="6" t="s">
        <v>17</v>
      </c>
      <c r="D302" s="7"/>
      <c r="E302" s="6" t="s">
        <v>18</v>
      </c>
      <c r="F302" s="6">
        <v>6.438</v>
      </c>
      <c r="G302" s="7">
        <v>233412.0</v>
      </c>
      <c r="H302" s="9">
        <v>21.41</v>
      </c>
      <c r="I302" s="10">
        <v>0.10997363636363636</v>
      </c>
    </row>
    <row r="303">
      <c r="A303" s="6">
        <v>2.0</v>
      </c>
      <c r="B303" s="6" t="s">
        <v>29</v>
      </c>
      <c r="C303" s="6"/>
      <c r="D303" s="7"/>
      <c r="E303" s="6" t="s">
        <v>19</v>
      </c>
      <c r="F303" s="6">
        <v>6.658</v>
      </c>
      <c r="G303" s="7">
        <v>5167.0</v>
      </c>
      <c r="H303" s="9">
        <v>0.47</v>
      </c>
      <c r="I303" s="10">
        <v>0.006225909090909091</v>
      </c>
    </row>
    <row r="304">
      <c r="A304" s="6">
        <v>2.0</v>
      </c>
      <c r="B304" s="6" t="s">
        <v>29</v>
      </c>
      <c r="C304" s="6"/>
      <c r="D304" s="7"/>
      <c r="E304" s="6" t="s">
        <v>22</v>
      </c>
      <c r="F304" s="6">
        <v>6.718</v>
      </c>
      <c r="G304" s="7">
        <v>377.0</v>
      </c>
      <c r="H304" s="9">
        <v>0.03</v>
      </c>
      <c r="I304" s="10">
        <v>0.004048636363636364</v>
      </c>
    </row>
    <row r="305">
      <c r="A305" s="6">
        <v>2.0</v>
      </c>
      <c r="B305" s="6" t="s">
        <v>29</v>
      </c>
      <c r="C305" s="6"/>
      <c r="D305" s="7"/>
      <c r="E305" s="6" t="s">
        <v>20</v>
      </c>
      <c r="F305" s="6">
        <v>7.204</v>
      </c>
      <c r="G305" s="7">
        <v>6384.0</v>
      </c>
      <c r="H305" s="9">
        <v>0.59</v>
      </c>
      <c r="I305" s="10">
        <v>0.006779090909090909</v>
      </c>
    </row>
    <row r="306">
      <c r="A306" s="6">
        <v>2.0</v>
      </c>
      <c r="B306" s="6" t="s">
        <v>30</v>
      </c>
      <c r="C306" s="6" t="s">
        <v>10</v>
      </c>
      <c r="D306" s="7"/>
      <c r="E306" s="6" t="s">
        <v>11</v>
      </c>
      <c r="F306" s="6">
        <v>4.749</v>
      </c>
      <c r="G306" s="7">
        <v>30815.0</v>
      </c>
      <c r="H306" s="9">
        <v>2.79</v>
      </c>
      <c r="I306" s="10">
        <v>0.01788409090909091</v>
      </c>
    </row>
    <row r="307">
      <c r="A307" s="6">
        <v>2.0</v>
      </c>
      <c r="B307" s="6" t="s">
        <v>30</v>
      </c>
      <c r="C307" s="6" t="s">
        <v>13</v>
      </c>
      <c r="D307" s="7"/>
      <c r="E307" s="6" t="s">
        <v>14</v>
      </c>
      <c r="F307" s="6">
        <v>5.755</v>
      </c>
      <c r="G307" s="7">
        <v>4558.0</v>
      </c>
      <c r="H307" s="9">
        <v>0.41</v>
      </c>
      <c r="I307" s="10">
        <v>0.005949090909090909</v>
      </c>
    </row>
    <row r="308">
      <c r="A308" s="6">
        <v>2.0</v>
      </c>
      <c r="B308" s="6" t="s">
        <v>30</v>
      </c>
      <c r="C308" s="6" t="s">
        <v>15</v>
      </c>
      <c r="D308" s="7"/>
      <c r="E308" s="6" t="s">
        <v>16</v>
      </c>
      <c r="F308" s="6">
        <v>5.881</v>
      </c>
      <c r="G308" s="7">
        <v>803265.0</v>
      </c>
      <c r="H308" s="9">
        <v>72.64</v>
      </c>
      <c r="I308" s="10">
        <v>0.3689977272727273</v>
      </c>
    </row>
    <row r="309">
      <c r="A309" s="6">
        <v>2.0</v>
      </c>
      <c r="B309" s="6" t="s">
        <v>30</v>
      </c>
      <c r="C309" s="6" t="s">
        <v>17</v>
      </c>
      <c r="D309" s="7"/>
      <c r="E309" s="6" t="s">
        <v>18</v>
      </c>
      <c r="F309" s="6">
        <v>6.439</v>
      </c>
      <c r="G309" s="7">
        <v>241829.0</v>
      </c>
      <c r="H309" s="9">
        <v>21.87</v>
      </c>
      <c r="I309" s="10">
        <v>0.11379954545454546</v>
      </c>
    </row>
    <row r="310">
      <c r="A310" s="6">
        <v>2.0</v>
      </c>
      <c r="B310" s="6" t="s">
        <v>30</v>
      </c>
      <c r="C310" s="6"/>
      <c r="D310" s="7"/>
      <c r="E310" s="6" t="s">
        <v>19</v>
      </c>
      <c r="F310" s="6">
        <v>6.659</v>
      </c>
      <c r="G310" s="7">
        <v>5242.0</v>
      </c>
      <c r="H310" s="9">
        <v>0.47</v>
      </c>
      <c r="I310" s="10">
        <v>0.00626</v>
      </c>
    </row>
    <row r="311">
      <c r="A311" s="6">
        <v>2.0</v>
      </c>
      <c r="B311" s="6" t="s">
        <v>30</v>
      </c>
      <c r="C311" s="6"/>
      <c r="D311" s="7"/>
      <c r="E311" s="6" t="s">
        <v>22</v>
      </c>
      <c r="F311" s="6">
        <v>6.718</v>
      </c>
      <c r="G311" s="7">
        <v>394.0</v>
      </c>
      <c r="H311" s="9">
        <v>0.04</v>
      </c>
      <c r="I311" s="10">
        <v>0.004056363636363637</v>
      </c>
    </row>
    <row r="312">
      <c r="A312" s="6">
        <v>2.0</v>
      </c>
      <c r="B312" s="6" t="s">
        <v>30</v>
      </c>
      <c r="C312" s="6"/>
      <c r="D312" s="7"/>
      <c r="E312" s="6" t="s">
        <v>20</v>
      </c>
      <c r="F312" s="6">
        <v>7.205</v>
      </c>
      <c r="G312" s="7">
        <v>6718.0</v>
      </c>
      <c r="H312" s="9">
        <v>0.61</v>
      </c>
      <c r="I312" s="10">
        <v>0.006930909090909091</v>
      </c>
    </row>
    <row r="313">
      <c r="A313" s="6">
        <v>2.0</v>
      </c>
      <c r="B313" s="6" t="s">
        <v>31</v>
      </c>
      <c r="C313" s="6" t="s">
        <v>10</v>
      </c>
      <c r="D313" s="7"/>
      <c r="E313" s="6" t="s">
        <v>11</v>
      </c>
      <c r="F313" s="6">
        <v>4.746</v>
      </c>
      <c r="G313" s="7">
        <v>24811.0</v>
      </c>
      <c r="H313" s="9">
        <v>2.46</v>
      </c>
      <c r="I313" s="10">
        <v>0.015155</v>
      </c>
    </row>
    <row r="314">
      <c r="A314" s="6">
        <v>2.0</v>
      </c>
      <c r="B314" s="6" t="s">
        <v>31</v>
      </c>
      <c r="C314" s="6" t="s">
        <v>13</v>
      </c>
      <c r="D314" s="7"/>
      <c r="E314" s="6" t="s">
        <v>14</v>
      </c>
      <c r="F314" s="6">
        <v>5.756</v>
      </c>
      <c r="G314" s="7">
        <v>3882.0</v>
      </c>
      <c r="H314" s="9">
        <v>0.38</v>
      </c>
      <c r="I314" s="10">
        <v>0.005641818181818182</v>
      </c>
    </row>
    <row r="315">
      <c r="A315" s="6">
        <v>2.0</v>
      </c>
      <c r="B315" s="6" t="s">
        <v>31</v>
      </c>
      <c r="C315" s="6" t="s">
        <v>15</v>
      </c>
      <c r="D315" s="7"/>
      <c r="E315" s="6" t="s">
        <v>16</v>
      </c>
      <c r="F315" s="6">
        <v>5.881</v>
      </c>
      <c r="G315" s="7">
        <v>720088.0</v>
      </c>
      <c r="H315" s="9">
        <v>71.34</v>
      </c>
      <c r="I315" s="10">
        <v>0.33119</v>
      </c>
    </row>
    <row r="316">
      <c r="A316" s="6">
        <v>2.0</v>
      </c>
      <c r="B316" s="6" t="s">
        <v>31</v>
      </c>
      <c r="C316" s="6" t="s">
        <v>17</v>
      </c>
      <c r="D316" s="7"/>
      <c r="E316" s="6" t="s">
        <v>18</v>
      </c>
      <c r="F316" s="6">
        <v>6.438</v>
      </c>
      <c r="G316" s="7">
        <v>224169.0</v>
      </c>
      <c r="H316" s="9">
        <v>22.21</v>
      </c>
      <c r="I316" s="10">
        <v>0.10577227272727273</v>
      </c>
    </row>
    <row r="317">
      <c r="A317" s="6">
        <v>2.0</v>
      </c>
      <c r="B317" s="6" t="s">
        <v>31</v>
      </c>
      <c r="C317" s="6"/>
      <c r="D317" s="7"/>
      <c r="E317" s="6" t="s">
        <v>19</v>
      </c>
      <c r="F317" s="6">
        <v>6.658</v>
      </c>
      <c r="G317" s="7">
        <v>4860.0</v>
      </c>
      <c r="H317" s="9">
        <v>0.48</v>
      </c>
      <c r="I317" s="10">
        <v>0.006086363636363636</v>
      </c>
    </row>
    <row r="318">
      <c r="A318" s="6">
        <v>2.0</v>
      </c>
      <c r="B318" s="6" t="s">
        <v>31</v>
      </c>
      <c r="C318" s="6"/>
      <c r="D318" s="7"/>
      <c r="E318" s="6" t="s">
        <v>22</v>
      </c>
      <c r="F318" s="6">
        <v>6.718</v>
      </c>
      <c r="G318" s="7">
        <v>372.0</v>
      </c>
      <c r="H318" s="9">
        <v>0.04</v>
      </c>
      <c r="I318" s="10">
        <v>0.004046363636363636</v>
      </c>
    </row>
    <row r="319">
      <c r="A319" s="6">
        <v>2.0</v>
      </c>
      <c r="B319" s="6" t="s">
        <v>31</v>
      </c>
      <c r="C319" s="6"/>
      <c r="D319" s="7"/>
      <c r="E319" s="6" t="s">
        <v>20</v>
      </c>
      <c r="F319" s="6">
        <v>7.206</v>
      </c>
      <c r="G319" s="7">
        <v>10408.0</v>
      </c>
      <c r="H319" s="9">
        <v>1.03</v>
      </c>
      <c r="I319" s="10">
        <v>0.008608181818181819</v>
      </c>
    </row>
    <row r="320">
      <c r="A320" s="6">
        <v>2.0</v>
      </c>
      <c r="B320" s="6" t="s">
        <v>32</v>
      </c>
      <c r="C320" s="6" t="s">
        <v>10</v>
      </c>
      <c r="D320" s="7"/>
      <c r="E320" s="6" t="s">
        <v>11</v>
      </c>
      <c r="F320" s="6">
        <v>4.744</v>
      </c>
      <c r="G320" s="7">
        <v>26305.0</v>
      </c>
      <c r="H320" s="9">
        <v>2.33</v>
      </c>
      <c r="I320" s="10">
        <v>0.01583409090909091</v>
      </c>
    </row>
    <row r="321">
      <c r="A321" s="6">
        <v>2.0</v>
      </c>
      <c r="B321" s="6" t="s">
        <v>32</v>
      </c>
      <c r="C321" s="6" t="s">
        <v>13</v>
      </c>
      <c r="D321" s="7"/>
      <c r="E321" s="6" t="s">
        <v>14</v>
      </c>
      <c r="F321" s="6">
        <v>5.754</v>
      </c>
      <c r="G321" s="7">
        <v>4180.0</v>
      </c>
      <c r="H321" s="9">
        <v>0.37</v>
      </c>
      <c r="I321" s="10">
        <v>0.005777272727272727</v>
      </c>
    </row>
    <row r="322">
      <c r="A322" s="6">
        <v>2.0</v>
      </c>
      <c r="B322" s="6" t="s">
        <v>32</v>
      </c>
      <c r="C322" s="6" t="s">
        <v>15</v>
      </c>
      <c r="D322" s="7"/>
      <c r="E322" s="6" t="s">
        <v>16</v>
      </c>
      <c r="F322" s="6">
        <v>5.881</v>
      </c>
      <c r="G322" s="7">
        <v>811335.0</v>
      </c>
      <c r="H322" s="9">
        <v>71.98</v>
      </c>
      <c r="I322" s="10">
        <v>0.3726659090909091</v>
      </c>
    </row>
    <row r="323">
      <c r="A323" s="6">
        <v>2.0</v>
      </c>
      <c r="B323" s="6" t="s">
        <v>32</v>
      </c>
      <c r="C323" s="6" t="s">
        <v>17</v>
      </c>
      <c r="D323" s="7"/>
      <c r="E323" s="6" t="s">
        <v>18</v>
      </c>
      <c r="F323" s="6">
        <v>6.438</v>
      </c>
      <c r="G323" s="7">
        <v>258910.0</v>
      </c>
      <c r="H323" s="9">
        <v>22.97</v>
      </c>
      <c r="I323" s="10">
        <v>0.12156363636363636</v>
      </c>
    </row>
    <row r="324">
      <c r="A324" s="6">
        <v>2.0</v>
      </c>
      <c r="B324" s="6" t="s">
        <v>32</v>
      </c>
      <c r="C324" s="6"/>
      <c r="D324" s="7"/>
      <c r="E324" s="6" t="s">
        <v>19</v>
      </c>
      <c r="F324" s="6">
        <v>6.656</v>
      </c>
      <c r="G324" s="7">
        <v>5689.0</v>
      </c>
      <c r="H324" s="9">
        <v>0.5</v>
      </c>
      <c r="I324" s="10">
        <v>0.0064631818181818184</v>
      </c>
    </row>
    <row r="325">
      <c r="A325" s="6">
        <v>2.0</v>
      </c>
      <c r="B325" s="6" t="s">
        <v>32</v>
      </c>
      <c r="C325" s="6"/>
      <c r="D325" s="7"/>
      <c r="E325" s="6" t="s">
        <v>22</v>
      </c>
      <c r="F325" s="6">
        <v>6.718</v>
      </c>
      <c r="G325" s="6">
        <v>446.0</v>
      </c>
      <c r="H325" s="9">
        <v>0.04</v>
      </c>
      <c r="I325" s="10">
        <v>0.00408</v>
      </c>
    </row>
    <row r="326">
      <c r="A326" s="6">
        <v>2.0</v>
      </c>
      <c r="B326" s="6" t="s">
        <v>32</v>
      </c>
      <c r="C326" s="6"/>
      <c r="D326" s="7"/>
      <c r="E326" s="6" t="s">
        <v>20</v>
      </c>
      <c r="F326" s="6">
        <v>7.206</v>
      </c>
      <c r="G326" s="7">
        <v>6672.0</v>
      </c>
      <c r="H326" s="9">
        <v>0.59</v>
      </c>
      <c r="I326" s="10">
        <v>0.00691</v>
      </c>
    </row>
    <row r="327">
      <c r="A327" s="6">
        <v>2.0</v>
      </c>
      <c r="B327" s="6" t="s">
        <v>34</v>
      </c>
      <c r="C327" s="6" t="s">
        <v>10</v>
      </c>
      <c r="D327" s="7"/>
      <c r="E327" s="6" t="s">
        <v>11</v>
      </c>
      <c r="F327" s="6">
        <v>4.742</v>
      </c>
      <c r="G327" s="7">
        <v>24950.0</v>
      </c>
      <c r="H327" s="9">
        <v>2.29</v>
      </c>
      <c r="I327" s="10">
        <v>0.015218181818181818</v>
      </c>
    </row>
    <row r="328">
      <c r="A328" s="6">
        <v>2.0</v>
      </c>
      <c r="B328" s="6" t="s">
        <v>34</v>
      </c>
      <c r="C328" s="6" t="s">
        <v>13</v>
      </c>
      <c r="D328" s="7"/>
      <c r="E328" s="6" t="s">
        <v>14</v>
      </c>
      <c r="F328" s="6">
        <v>5.752</v>
      </c>
      <c r="G328" s="7">
        <v>3825.0</v>
      </c>
      <c r="H328" s="9">
        <v>0.35</v>
      </c>
      <c r="I328" s="10">
        <v>0.005615909090909091</v>
      </c>
    </row>
    <row r="329">
      <c r="A329" s="6">
        <v>2.0</v>
      </c>
      <c r="B329" s="6" t="s">
        <v>34</v>
      </c>
      <c r="C329" s="6" t="s">
        <v>15</v>
      </c>
      <c r="D329" s="7"/>
      <c r="E329" s="6" t="s">
        <v>16</v>
      </c>
      <c r="F329" s="6">
        <v>5.879</v>
      </c>
      <c r="G329" s="7">
        <v>781745.0</v>
      </c>
      <c r="H329" s="9">
        <v>71.84</v>
      </c>
      <c r="I329" s="10">
        <v>0.3592159090909091</v>
      </c>
    </row>
    <row r="330">
      <c r="A330" s="6">
        <v>2.0</v>
      </c>
      <c r="B330" s="6" t="s">
        <v>34</v>
      </c>
      <c r="C330" s="6" t="s">
        <v>17</v>
      </c>
      <c r="D330" s="7"/>
      <c r="E330" s="6" t="s">
        <v>18</v>
      </c>
      <c r="F330" s="6">
        <v>6.436</v>
      </c>
      <c r="G330" s="7">
        <v>251021.0</v>
      </c>
      <c r="H330" s="9">
        <v>23.07</v>
      </c>
      <c r="I330" s="10">
        <v>0.11797772727272728</v>
      </c>
    </row>
    <row r="331">
      <c r="A331" s="6">
        <v>2.0</v>
      </c>
      <c r="B331" s="6" t="s">
        <v>34</v>
      </c>
      <c r="C331" s="6"/>
      <c r="D331" s="7"/>
      <c r="E331" s="6" t="s">
        <v>19</v>
      </c>
      <c r="F331" s="6">
        <v>6.656</v>
      </c>
      <c r="G331" s="7">
        <v>5430.0</v>
      </c>
      <c r="H331" s="9">
        <v>0.5</v>
      </c>
      <c r="I331" s="10">
        <v>0.006345454545454546</v>
      </c>
    </row>
    <row r="332">
      <c r="A332" s="6">
        <v>2.0</v>
      </c>
      <c r="B332" s="6" t="s">
        <v>34</v>
      </c>
      <c r="C332" s="6"/>
      <c r="D332" s="7"/>
      <c r="E332" s="6" t="s">
        <v>22</v>
      </c>
      <c r="F332" s="6">
        <v>6.718</v>
      </c>
      <c r="G332" s="7">
        <v>342.0</v>
      </c>
      <c r="H332" s="9">
        <v>0.03</v>
      </c>
      <c r="I332" s="10">
        <v>0.004032727272727273</v>
      </c>
    </row>
    <row r="333">
      <c r="A333" s="6">
        <v>2.0</v>
      </c>
      <c r="B333" s="6" t="s">
        <v>34</v>
      </c>
      <c r="C333" s="6"/>
      <c r="D333" s="7"/>
      <c r="E333" s="6" t="s">
        <v>20</v>
      </c>
      <c r="F333" s="6">
        <v>7.203</v>
      </c>
      <c r="G333" s="7">
        <v>6725.0</v>
      </c>
      <c r="H333" s="9">
        <v>0.62</v>
      </c>
      <c r="I333" s="10">
        <v>0.006934090909090909</v>
      </c>
    </row>
    <row r="334">
      <c r="A334" s="6">
        <v>2.0</v>
      </c>
      <c r="B334" s="6" t="s">
        <v>35</v>
      </c>
      <c r="C334" s="6" t="s">
        <v>10</v>
      </c>
      <c r="D334" s="7"/>
      <c r="E334" s="6" t="s">
        <v>11</v>
      </c>
      <c r="F334" s="6">
        <v>4.744</v>
      </c>
      <c r="G334" s="7">
        <v>25960.0</v>
      </c>
      <c r="H334" s="9">
        <v>2.35</v>
      </c>
      <c r="I334" s="10">
        <v>0.015677272727272727</v>
      </c>
    </row>
    <row r="335">
      <c r="A335" s="6">
        <v>2.0</v>
      </c>
      <c r="B335" s="6" t="s">
        <v>35</v>
      </c>
      <c r="C335" s="6" t="s">
        <v>13</v>
      </c>
      <c r="D335" s="7"/>
      <c r="E335" s="6" t="s">
        <v>14</v>
      </c>
      <c r="F335" s="6">
        <v>5.754</v>
      </c>
      <c r="G335" s="7">
        <v>3821.0</v>
      </c>
      <c r="H335" s="9">
        <v>0.35</v>
      </c>
      <c r="I335" s="10">
        <v>0.005614090909090909</v>
      </c>
    </row>
    <row r="336">
      <c r="A336" s="6">
        <v>2.0</v>
      </c>
      <c r="B336" s="6" t="s">
        <v>35</v>
      </c>
      <c r="C336" s="6" t="s">
        <v>15</v>
      </c>
      <c r="D336" s="7"/>
      <c r="E336" s="6" t="s">
        <v>16</v>
      </c>
      <c r="F336" s="8">
        <v>5.88</v>
      </c>
      <c r="G336" s="7">
        <v>790599.0</v>
      </c>
      <c r="H336" s="9">
        <v>71.53</v>
      </c>
      <c r="I336" s="10">
        <v>0.36324045454545456</v>
      </c>
    </row>
    <row r="337">
      <c r="A337" s="6">
        <v>2.0</v>
      </c>
      <c r="B337" s="6" t="s">
        <v>35</v>
      </c>
      <c r="C337" s="6" t="s">
        <v>17</v>
      </c>
      <c r="D337" s="7"/>
      <c r="E337" s="6" t="s">
        <v>18</v>
      </c>
      <c r="F337" s="8">
        <v>6.435</v>
      </c>
      <c r="G337" s="7">
        <v>257534.0</v>
      </c>
      <c r="H337" s="9">
        <v>23.3</v>
      </c>
      <c r="I337" s="10">
        <v>0.12093818181818182</v>
      </c>
    </row>
    <row r="338">
      <c r="A338" s="6">
        <v>2.0</v>
      </c>
      <c r="B338" s="6" t="s">
        <v>35</v>
      </c>
      <c r="C338" s="6"/>
      <c r="D338" s="7"/>
      <c r="E338" s="6" t="s">
        <v>19</v>
      </c>
      <c r="F338" s="8">
        <v>6.656</v>
      </c>
      <c r="G338" s="7">
        <v>5580.0</v>
      </c>
      <c r="H338" s="9">
        <v>0.5</v>
      </c>
      <c r="I338" s="10">
        <v>0.0064136363636363635</v>
      </c>
    </row>
    <row r="339">
      <c r="A339" s="6">
        <v>2.0</v>
      </c>
      <c r="B339" s="6" t="s">
        <v>35</v>
      </c>
      <c r="C339" s="6"/>
      <c r="D339" s="7"/>
      <c r="E339" s="6" t="s">
        <v>22</v>
      </c>
      <c r="F339" s="8">
        <v>6.718</v>
      </c>
      <c r="G339" s="7">
        <v>361.0</v>
      </c>
      <c r="H339" s="9">
        <v>0.03</v>
      </c>
      <c r="I339" s="10">
        <v>0.004041363636363636</v>
      </c>
    </row>
    <row r="340">
      <c r="A340" s="6">
        <v>2.0</v>
      </c>
      <c r="B340" s="6" t="s">
        <v>35</v>
      </c>
      <c r="C340" s="6"/>
      <c r="D340" s="7"/>
      <c r="E340" s="6" t="s">
        <v>20</v>
      </c>
      <c r="F340" s="8">
        <v>7.203</v>
      </c>
      <c r="G340" s="7">
        <v>6809.0</v>
      </c>
      <c r="H340" s="9">
        <v>0.62</v>
      </c>
      <c r="I340" s="10">
        <v>0.006972272727272727</v>
      </c>
    </row>
    <row r="341">
      <c r="A341" s="6">
        <v>2.0</v>
      </c>
      <c r="B341" s="6" t="s">
        <v>40</v>
      </c>
      <c r="C341" s="6" t="s">
        <v>10</v>
      </c>
      <c r="D341" s="7"/>
      <c r="E341" s="6" t="s">
        <v>11</v>
      </c>
      <c r="F341" s="8">
        <v>4.743</v>
      </c>
      <c r="G341" s="7">
        <v>26070.0</v>
      </c>
      <c r="H341" s="9">
        <v>2.36</v>
      </c>
      <c r="I341" s="10">
        <v>0.01572727272727273</v>
      </c>
    </row>
    <row r="342">
      <c r="A342" s="6">
        <v>2.0</v>
      </c>
      <c r="B342" s="6" t="s">
        <v>40</v>
      </c>
      <c r="C342" s="6" t="s">
        <v>13</v>
      </c>
      <c r="D342" s="7"/>
      <c r="E342" s="6" t="s">
        <v>14</v>
      </c>
      <c r="F342" s="8">
        <v>5.752</v>
      </c>
      <c r="G342" s="7">
        <v>3733.0</v>
      </c>
      <c r="H342" s="9">
        <v>0.34</v>
      </c>
      <c r="I342" s="10">
        <v>0.005574090909090909</v>
      </c>
    </row>
    <row r="343">
      <c r="A343" s="6">
        <v>2.0</v>
      </c>
      <c r="B343" s="6" t="s">
        <v>40</v>
      </c>
      <c r="C343" s="6" t="s">
        <v>15</v>
      </c>
      <c r="D343" s="7"/>
      <c r="E343" s="6" t="s">
        <v>16</v>
      </c>
      <c r="F343" s="8">
        <v>5.878</v>
      </c>
      <c r="G343" s="7">
        <v>787862.0</v>
      </c>
      <c r="H343" s="9">
        <v>71.31</v>
      </c>
      <c r="I343" s="10">
        <v>0.3619963636363636</v>
      </c>
    </row>
    <row r="344">
      <c r="A344" s="6">
        <v>2.0</v>
      </c>
      <c r="B344" s="6" t="s">
        <v>40</v>
      </c>
      <c r="C344" s="6" t="s">
        <v>17</v>
      </c>
      <c r="D344" s="7"/>
      <c r="E344" s="6" t="s">
        <v>18</v>
      </c>
      <c r="F344" s="8">
        <v>6.437</v>
      </c>
      <c r="G344" s="7">
        <v>259028.0</v>
      </c>
      <c r="H344" s="9">
        <v>23.45</v>
      </c>
      <c r="I344" s="10">
        <v>0.12161727272727273</v>
      </c>
    </row>
    <row r="345">
      <c r="A345" s="6">
        <v>2.0</v>
      </c>
      <c r="B345" s="6" t="s">
        <v>40</v>
      </c>
      <c r="C345" s="6"/>
      <c r="D345" s="7"/>
      <c r="E345" s="6" t="s">
        <v>19</v>
      </c>
      <c r="F345" s="8">
        <v>6.655</v>
      </c>
      <c r="G345" s="7">
        <v>5846.0</v>
      </c>
      <c r="H345" s="9">
        <v>0.53</v>
      </c>
      <c r="I345" s="10">
        <v>0.006534545454545454</v>
      </c>
    </row>
    <row r="346">
      <c r="A346" s="6">
        <v>2.0</v>
      </c>
      <c r="B346" s="6" t="s">
        <v>40</v>
      </c>
      <c r="C346" s="6"/>
      <c r="D346" s="7"/>
      <c r="E346" s="6" t="s">
        <v>22</v>
      </c>
      <c r="F346" s="8">
        <v>6.718</v>
      </c>
      <c r="G346" s="7">
        <v>315.0</v>
      </c>
      <c r="H346" s="9">
        <v>0.03</v>
      </c>
      <c r="I346" s="10">
        <v>0.004020454545454546</v>
      </c>
    </row>
    <row r="347">
      <c r="A347" s="6">
        <v>2.0</v>
      </c>
      <c r="B347" s="6" t="s">
        <v>40</v>
      </c>
      <c r="C347" s="6"/>
      <c r="D347" s="7"/>
      <c r="E347" s="6" t="s">
        <v>20</v>
      </c>
      <c r="F347" s="8">
        <v>7.202</v>
      </c>
      <c r="G347" s="7">
        <v>6853.0</v>
      </c>
      <c r="H347" s="9">
        <v>0.62</v>
      </c>
      <c r="I347" s="10">
        <v>0.006992272727272727</v>
      </c>
    </row>
    <row r="348">
      <c r="A348" s="6">
        <v>2.0</v>
      </c>
      <c r="B348" s="6" t="s">
        <v>36</v>
      </c>
      <c r="C348" s="6" t="s">
        <v>10</v>
      </c>
      <c r="D348" s="7"/>
      <c r="E348" s="6" t="s">
        <v>11</v>
      </c>
      <c r="F348" s="8">
        <v>4.74</v>
      </c>
      <c r="G348" s="7">
        <v>21817.0</v>
      </c>
      <c r="H348" s="9">
        <v>2.09</v>
      </c>
      <c r="I348" s="10">
        <v>0.013794090909090909</v>
      </c>
    </row>
    <row r="349">
      <c r="A349" s="6">
        <v>2.0</v>
      </c>
      <c r="B349" s="6" t="s">
        <v>36</v>
      </c>
      <c r="C349" s="6" t="s">
        <v>13</v>
      </c>
      <c r="D349" s="7"/>
      <c r="E349" s="6" t="s">
        <v>14</v>
      </c>
      <c r="F349" s="8">
        <v>5.752</v>
      </c>
      <c r="G349" s="7">
        <v>3429.0</v>
      </c>
      <c r="H349" s="9">
        <v>0.33</v>
      </c>
      <c r="I349" s="10">
        <v>0.005435909090909091</v>
      </c>
    </row>
    <row r="350">
      <c r="A350" s="6">
        <v>2.0</v>
      </c>
      <c r="B350" s="6" t="s">
        <v>36</v>
      </c>
      <c r="C350" s="6" t="s">
        <v>15</v>
      </c>
      <c r="D350" s="7"/>
      <c r="E350" s="6" t="s">
        <v>16</v>
      </c>
      <c r="F350" s="8">
        <v>5.877</v>
      </c>
      <c r="G350" s="7">
        <v>743433.0</v>
      </c>
      <c r="H350" s="9">
        <v>71.19</v>
      </c>
      <c r="I350" s="10">
        <v>0.34180136363636365</v>
      </c>
    </row>
    <row r="351">
      <c r="A351" s="6">
        <v>2.0</v>
      </c>
      <c r="B351" s="6" t="s">
        <v>36</v>
      </c>
      <c r="C351" s="6" t="s">
        <v>17</v>
      </c>
      <c r="D351" s="7"/>
      <c r="E351" s="6" t="s">
        <v>18</v>
      </c>
      <c r="F351" s="8">
        <v>6.435</v>
      </c>
      <c r="G351" s="7">
        <v>244970.0</v>
      </c>
      <c r="H351" s="9">
        <v>23.46</v>
      </c>
      <c r="I351" s="10">
        <v>0.11522727272727273</v>
      </c>
    </row>
    <row r="352">
      <c r="A352" s="6">
        <v>2.0</v>
      </c>
      <c r="B352" s="6" t="s">
        <v>36</v>
      </c>
      <c r="C352" s="6"/>
      <c r="D352" s="7"/>
      <c r="E352" s="6" t="s">
        <v>19</v>
      </c>
      <c r="F352" s="8">
        <v>6.655</v>
      </c>
      <c r="G352" s="7">
        <v>5802.0</v>
      </c>
      <c r="H352" s="9">
        <v>0.56</v>
      </c>
      <c r="I352" s="10">
        <v>0.006514545454545454</v>
      </c>
    </row>
    <row r="353">
      <c r="A353" s="6">
        <v>2.0</v>
      </c>
      <c r="B353" s="6" t="s">
        <v>36</v>
      </c>
      <c r="C353" s="6"/>
      <c r="D353" s="7"/>
      <c r="E353" s="6" t="s">
        <v>20</v>
      </c>
      <c r="F353" s="8">
        <v>7.201</v>
      </c>
      <c r="G353" s="7">
        <v>6552.0</v>
      </c>
      <c r="H353" s="9">
        <v>0.63</v>
      </c>
      <c r="I353" s="10">
        <v>0.006855454545454546</v>
      </c>
    </row>
    <row r="354">
      <c r="A354" s="6">
        <v>2.0</v>
      </c>
      <c r="B354" s="6" t="s">
        <v>37</v>
      </c>
      <c r="C354" s="6" t="s">
        <v>10</v>
      </c>
      <c r="D354" s="7"/>
      <c r="E354" s="6" t="s">
        <v>11</v>
      </c>
      <c r="F354" s="8">
        <v>4.743</v>
      </c>
      <c r="G354" s="7">
        <v>23556.0</v>
      </c>
      <c r="H354" s="9">
        <v>2.1</v>
      </c>
      <c r="I354" s="10">
        <v>0.014584545454545454</v>
      </c>
    </row>
    <row r="355">
      <c r="A355" s="6">
        <v>2.0</v>
      </c>
      <c r="B355" s="6" t="s">
        <v>37</v>
      </c>
      <c r="C355" s="6" t="s">
        <v>13</v>
      </c>
      <c r="D355" s="7"/>
      <c r="E355" s="6" t="s">
        <v>14</v>
      </c>
      <c r="F355" s="8">
        <v>5.751</v>
      </c>
      <c r="G355" s="7">
        <v>3651.0</v>
      </c>
      <c r="H355" s="9">
        <v>0.33</v>
      </c>
      <c r="I355" s="10">
        <v>0.005536818181818182</v>
      </c>
    </row>
    <row r="356">
      <c r="A356" s="6">
        <v>2.0</v>
      </c>
      <c r="B356" s="6" t="s">
        <v>37</v>
      </c>
      <c r="C356" s="6" t="s">
        <v>15</v>
      </c>
      <c r="D356" s="7"/>
      <c r="E356" s="6" t="s">
        <v>16</v>
      </c>
      <c r="F356" s="8">
        <v>5.878</v>
      </c>
      <c r="G356" s="7">
        <v>799030.0</v>
      </c>
      <c r="H356" s="9">
        <v>71.24</v>
      </c>
      <c r="I356" s="10">
        <v>0.3670727272727273</v>
      </c>
    </row>
    <row r="357">
      <c r="A357" s="6">
        <v>2.0</v>
      </c>
      <c r="B357" s="6" t="s">
        <v>37</v>
      </c>
      <c r="C357" s="6" t="s">
        <v>17</v>
      </c>
      <c r="D357" s="7"/>
      <c r="E357" s="6" t="s">
        <v>18</v>
      </c>
      <c r="F357" s="8">
        <v>6.434</v>
      </c>
      <c r="G357" s="7">
        <v>262576.0</v>
      </c>
      <c r="H357" s="9">
        <v>23.41</v>
      </c>
      <c r="I357" s="10">
        <v>0.12323</v>
      </c>
    </row>
    <row r="358">
      <c r="A358" s="6">
        <v>2.0</v>
      </c>
      <c r="B358" s="6" t="s">
        <v>37</v>
      </c>
      <c r="C358" s="6"/>
      <c r="D358" s="7"/>
      <c r="E358" s="6" t="s">
        <v>19</v>
      </c>
      <c r="F358" s="8">
        <v>6.653</v>
      </c>
      <c r="G358" s="7">
        <v>6359.0</v>
      </c>
      <c r="H358" s="9">
        <v>0.57</v>
      </c>
      <c r="I358" s="10">
        <v>0.0067677272727272725</v>
      </c>
    </row>
    <row r="359">
      <c r="A359" s="6">
        <v>2.0</v>
      </c>
      <c r="B359" s="6" t="s">
        <v>37</v>
      </c>
      <c r="C359" s="6"/>
      <c r="D359" s="7"/>
      <c r="E359" s="6" t="s">
        <v>20</v>
      </c>
      <c r="F359" s="8">
        <v>7.198</v>
      </c>
      <c r="G359" s="7">
        <v>7105.0</v>
      </c>
      <c r="H359" s="9">
        <v>0.63</v>
      </c>
      <c r="I359" s="10">
        <v>0.007106818181818182</v>
      </c>
    </row>
    <row r="360">
      <c r="A360" s="6">
        <v>2.0</v>
      </c>
      <c r="B360" s="6" t="s">
        <v>41</v>
      </c>
      <c r="C360" s="6" t="s">
        <v>10</v>
      </c>
      <c r="D360" s="7"/>
      <c r="E360" s="6" t="s">
        <v>11</v>
      </c>
      <c r="F360" s="8">
        <v>4.734</v>
      </c>
      <c r="G360" s="7">
        <v>21139.0</v>
      </c>
      <c r="H360" s="9">
        <v>2.1</v>
      </c>
      <c r="I360" s="10">
        <v>0.01348590909090909</v>
      </c>
    </row>
    <row r="361">
      <c r="A361" s="6">
        <v>2.0</v>
      </c>
      <c r="B361" s="6" t="s">
        <v>41</v>
      </c>
      <c r="C361" s="6" t="s">
        <v>13</v>
      </c>
      <c r="D361" s="7"/>
      <c r="E361" s="6" t="s">
        <v>14</v>
      </c>
      <c r="F361" s="8">
        <v>5.75</v>
      </c>
      <c r="G361" s="7">
        <v>3158.0</v>
      </c>
      <c r="H361" s="9">
        <v>0.31</v>
      </c>
      <c r="I361" s="10">
        <v>0.005312727272727273</v>
      </c>
    </row>
    <row r="362">
      <c r="A362" s="6">
        <v>2.0</v>
      </c>
      <c r="B362" s="6" t="s">
        <v>41</v>
      </c>
      <c r="C362" s="6" t="s">
        <v>15</v>
      </c>
      <c r="D362" s="7"/>
      <c r="E362" s="6" t="s">
        <v>16</v>
      </c>
      <c r="F362" s="8">
        <v>5.875</v>
      </c>
      <c r="G362" s="7">
        <v>714862.0</v>
      </c>
      <c r="H362" s="9">
        <v>71.1</v>
      </c>
      <c r="I362" s="10">
        <v>0.32881454545454547</v>
      </c>
    </row>
    <row r="363">
      <c r="A363" s="6">
        <v>2.0</v>
      </c>
      <c r="B363" s="6" t="s">
        <v>41</v>
      </c>
      <c r="C363" s="6" t="s">
        <v>17</v>
      </c>
      <c r="D363" s="7"/>
      <c r="E363" s="6" t="s">
        <v>18</v>
      </c>
      <c r="F363" s="8">
        <v>6.43</v>
      </c>
      <c r="G363" s="7">
        <v>235335.0</v>
      </c>
      <c r="H363" s="9">
        <v>23.41</v>
      </c>
      <c r="I363" s="10">
        <v>0.11084772727272728</v>
      </c>
    </row>
    <row r="364">
      <c r="A364" s="6">
        <v>2.0</v>
      </c>
      <c r="B364" s="6" t="s">
        <v>41</v>
      </c>
      <c r="C364" s="6"/>
      <c r="D364" s="7"/>
      <c r="E364" s="6" t="s">
        <v>19</v>
      </c>
      <c r="F364" s="8">
        <v>6.651</v>
      </c>
      <c r="G364" s="7">
        <v>5853.0</v>
      </c>
      <c r="H364" s="9">
        <v>0.58</v>
      </c>
      <c r="I364" s="10">
        <v>0.006537727272727272</v>
      </c>
    </row>
    <row r="365">
      <c r="A365" s="6">
        <v>2.0</v>
      </c>
      <c r="B365" s="6" t="s">
        <v>41</v>
      </c>
      <c r="C365" s="6"/>
      <c r="D365" s="7"/>
      <c r="E365" s="6" t="s">
        <v>20</v>
      </c>
      <c r="F365" s="8">
        <v>7.196</v>
      </c>
      <c r="G365" s="7">
        <v>6222.0</v>
      </c>
      <c r="H365" s="9">
        <v>0.62</v>
      </c>
      <c r="I365" s="10">
        <v>0.006705454545454546</v>
      </c>
    </row>
    <row r="366">
      <c r="A366" s="6">
        <v>2.0</v>
      </c>
      <c r="B366" s="6" t="s">
        <v>38</v>
      </c>
      <c r="C366" s="6" t="s">
        <v>10</v>
      </c>
      <c r="D366" s="7"/>
      <c r="E366" s="6" t="s">
        <v>11</v>
      </c>
      <c r="F366" s="8">
        <v>4.732</v>
      </c>
      <c r="G366" s="7">
        <v>28735.0</v>
      </c>
      <c r="H366" s="9">
        <v>2.47</v>
      </c>
      <c r="I366" s="10">
        <v>0.016938636363636364</v>
      </c>
    </row>
    <row r="367">
      <c r="A367" s="6">
        <v>2.0</v>
      </c>
      <c r="B367" s="6" t="s">
        <v>38</v>
      </c>
      <c r="C367" s="6" t="s">
        <v>13</v>
      </c>
      <c r="D367" s="7"/>
      <c r="E367" s="6" t="s">
        <v>14</v>
      </c>
      <c r="F367" s="8">
        <v>5.747</v>
      </c>
      <c r="G367" s="7">
        <v>3693.0</v>
      </c>
      <c r="H367" s="9">
        <v>0.32</v>
      </c>
      <c r="I367" s="10">
        <v>0.0055559090909090905</v>
      </c>
    </row>
    <row r="368">
      <c r="A368" s="6">
        <v>2.0</v>
      </c>
      <c r="B368" s="6" t="s">
        <v>38</v>
      </c>
      <c r="C368" s="6" t="s">
        <v>15</v>
      </c>
      <c r="D368" s="7"/>
      <c r="E368" s="6" t="s">
        <v>16</v>
      </c>
      <c r="F368" s="8">
        <v>5.874</v>
      </c>
      <c r="G368" s="7">
        <v>821577.0</v>
      </c>
      <c r="H368" s="9">
        <v>70.52</v>
      </c>
      <c r="I368" s="10">
        <v>0.37732136363636365</v>
      </c>
    </row>
    <row r="369">
      <c r="A369" s="6">
        <v>2.0</v>
      </c>
      <c r="B369" s="6" t="s">
        <v>38</v>
      </c>
      <c r="C369" s="6" t="s">
        <v>17</v>
      </c>
      <c r="D369" s="7"/>
      <c r="E369" s="6" t="s">
        <v>18</v>
      </c>
      <c r="F369" s="8">
        <v>6.433</v>
      </c>
      <c r="G369" s="7">
        <v>270767.0</v>
      </c>
      <c r="H369" s="9">
        <v>23.24</v>
      </c>
      <c r="I369" s="10">
        <v>0.12695318181818183</v>
      </c>
    </row>
    <row r="370">
      <c r="A370" s="6">
        <v>2.0</v>
      </c>
      <c r="B370" s="6" t="s">
        <v>38</v>
      </c>
      <c r="C370" s="6"/>
      <c r="D370" s="7"/>
      <c r="E370" s="6" t="s">
        <v>19</v>
      </c>
      <c r="F370" s="8">
        <v>6.652</v>
      </c>
      <c r="G370" s="7">
        <v>7076.0</v>
      </c>
      <c r="H370" s="9">
        <v>0.61</v>
      </c>
      <c r="I370" s="10">
        <v>0.007093636363636364</v>
      </c>
    </row>
    <row r="371">
      <c r="A371" s="6">
        <v>2.0</v>
      </c>
      <c r="B371" s="6" t="s">
        <v>38</v>
      </c>
      <c r="C371" s="6"/>
      <c r="D371" s="7"/>
      <c r="E371" s="6" t="s">
        <v>20</v>
      </c>
      <c r="F371" s="8">
        <v>7.194</v>
      </c>
      <c r="G371" s="7">
        <v>7105.0</v>
      </c>
      <c r="H371" s="9">
        <v>0.61</v>
      </c>
      <c r="I371" s="10">
        <v>0.007106818181818182</v>
      </c>
    </row>
  </sheetData>
  <autoFilter ref="$A$1:$I$37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1.25"/>
    <col customWidth="1" min="3" max="3" width="11.63"/>
    <col customWidth="1" min="4" max="4" width="5.0"/>
    <col customWidth="1" min="5" max="5" width="6.75"/>
    <col customWidth="1" min="6" max="6" width="4.88"/>
    <col customWidth="1" min="7" max="7" width="11.63"/>
    <col customWidth="1" min="8" max="8" width="9.38"/>
    <col customWidth="1" min="9" max="9" width="9.63"/>
  </cols>
  <sheetData>
    <row r="1">
      <c r="A1" s="12" t="s">
        <v>42</v>
      </c>
      <c r="B1" s="12"/>
      <c r="C1" s="12"/>
      <c r="D1" s="12"/>
      <c r="E1" s="12"/>
      <c r="F1" s="12"/>
      <c r="G1" s="13"/>
      <c r="H1" s="12"/>
      <c r="I1" s="12"/>
    </row>
    <row r="2">
      <c r="A2" s="14" t="s">
        <v>43</v>
      </c>
      <c r="B2" s="14" t="s">
        <v>44</v>
      </c>
      <c r="C2" s="14" t="s">
        <v>2</v>
      </c>
      <c r="D2" s="14" t="s">
        <v>45</v>
      </c>
      <c r="E2" s="14" t="s">
        <v>46</v>
      </c>
      <c r="F2" s="14" t="s">
        <v>47</v>
      </c>
      <c r="G2" s="15" t="s">
        <v>48</v>
      </c>
      <c r="H2" s="14" t="s">
        <v>49</v>
      </c>
      <c r="I2" s="14" t="s">
        <v>50</v>
      </c>
    </row>
    <row r="3">
      <c r="A3" s="16" t="s">
        <v>51</v>
      </c>
      <c r="B3" s="16">
        <v>6659.0</v>
      </c>
      <c r="C3" s="16" t="s">
        <v>15</v>
      </c>
      <c r="D3" s="16">
        <v>1.0</v>
      </c>
      <c r="E3" s="16">
        <v>0.5</v>
      </c>
      <c r="F3" s="17"/>
      <c r="G3" s="18">
        <v>1086407.378</v>
      </c>
      <c r="H3" s="16">
        <v>0.498</v>
      </c>
      <c r="I3" s="16">
        <v>-0.44</v>
      </c>
    </row>
    <row r="4">
      <c r="A4" s="16" t="s">
        <v>52</v>
      </c>
      <c r="B4" s="16">
        <v>6660.0</v>
      </c>
      <c r="C4" s="16" t="s">
        <v>15</v>
      </c>
      <c r="D4" s="16">
        <v>2.0</v>
      </c>
      <c r="E4" s="16">
        <v>1.0</v>
      </c>
      <c r="F4" s="17"/>
      <c r="G4" s="18">
        <v>2162630.207</v>
      </c>
      <c r="H4" s="16">
        <v>0.987</v>
      </c>
      <c r="I4" s="16">
        <v>-1.29</v>
      </c>
    </row>
    <row r="5">
      <c r="A5" s="16" t="s">
        <v>53</v>
      </c>
      <c r="B5" s="16">
        <v>6661.0</v>
      </c>
      <c r="C5" s="16" t="s">
        <v>15</v>
      </c>
      <c r="D5" s="16">
        <v>3.0</v>
      </c>
      <c r="E5" s="16">
        <v>2.0</v>
      </c>
      <c r="F5" s="17"/>
      <c r="G5" s="18">
        <v>4423362.933</v>
      </c>
      <c r="H5" s="16">
        <v>2.015</v>
      </c>
      <c r="I5" s="16">
        <v>0.75</v>
      </c>
    </row>
    <row r="6">
      <c r="A6" s="16" t="s">
        <v>54</v>
      </c>
      <c r="B6" s="16">
        <v>6662.0</v>
      </c>
      <c r="C6" s="16" t="s">
        <v>15</v>
      </c>
      <c r="D6" s="16">
        <v>4.0</v>
      </c>
      <c r="E6" s="16">
        <v>3.0</v>
      </c>
      <c r="F6" s="17"/>
      <c r="G6" s="18">
        <v>6606960.779</v>
      </c>
      <c r="H6" s="16">
        <v>3.008</v>
      </c>
      <c r="I6" s="16">
        <v>0.26</v>
      </c>
    </row>
    <row r="7">
      <c r="A7" s="16" t="s">
        <v>55</v>
      </c>
      <c r="B7" s="16">
        <v>6663.0</v>
      </c>
      <c r="C7" s="16" t="s">
        <v>15</v>
      </c>
      <c r="D7" s="16">
        <v>5.0</v>
      </c>
      <c r="E7" s="16">
        <v>4.0</v>
      </c>
      <c r="F7" s="17"/>
      <c r="G7" s="18">
        <v>8791574.43</v>
      </c>
      <c r="H7" s="16">
        <v>4.001</v>
      </c>
      <c r="I7" s="16">
        <v>0.02</v>
      </c>
    </row>
    <row r="8">
      <c r="A8" s="16" t="s">
        <v>56</v>
      </c>
      <c r="B8" s="16">
        <v>6664.0</v>
      </c>
      <c r="C8" s="16" t="s">
        <v>15</v>
      </c>
      <c r="D8" s="16">
        <v>6.0</v>
      </c>
      <c r="E8" s="16">
        <v>5.0</v>
      </c>
      <c r="F8" s="17"/>
      <c r="G8" s="18">
        <v>1.0969955289E7</v>
      </c>
      <c r="H8" s="16">
        <v>4.991</v>
      </c>
      <c r="I8" s="16">
        <v>-0.17</v>
      </c>
    </row>
    <row r="9">
      <c r="A9" s="12" t="s">
        <v>57</v>
      </c>
      <c r="B9" s="19"/>
      <c r="C9" s="19"/>
      <c r="D9" s="19"/>
      <c r="E9" s="19"/>
      <c r="F9" s="19"/>
      <c r="G9" s="20"/>
      <c r="H9" s="19"/>
      <c r="I9" s="19"/>
    </row>
    <row r="10">
      <c r="A10" s="20">
        <f t="array" ref="A10:B10">LINEST(G3:G8,E3:E8,TRUE,FALSE)</f>
        <v>2199488.075</v>
      </c>
      <c r="B10" s="20">
        <v>-8529.02419725896</v>
      </c>
      <c r="C10" s="19"/>
      <c r="D10" s="19"/>
      <c r="E10" s="19"/>
      <c r="F10" s="19"/>
      <c r="G10" s="20"/>
      <c r="H10" s="19"/>
      <c r="I10" s="19"/>
    </row>
    <row r="11">
      <c r="A11" s="19"/>
      <c r="B11" s="19"/>
      <c r="C11" s="19"/>
      <c r="D11" s="19"/>
      <c r="E11" s="19"/>
      <c r="F11" s="19"/>
      <c r="G11" s="20"/>
      <c r="H11" s="19"/>
      <c r="I11" s="19"/>
    </row>
    <row r="12">
      <c r="A12" s="12" t="s">
        <v>58</v>
      </c>
      <c r="B12" s="12"/>
      <c r="C12" s="12"/>
      <c r="D12" s="19"/>
      <c r="E12" s="19"/>
      <c r="F12" s="19"/>
      <c r="G12" s="20"/>
      <c r="H12" s="19"/>
      <c r="I12" s="19"/>
    </row>
    <row r="13">
      <c r="A13" s="14" t="s">
        <v>43</v>
      </c>
      <c r="B13" s="14" t="s">
        <v>59</v>
      </c>
      <c r="C13" s="14" t="s">
        <v>6</v>
      </c>
      <c r="D13" s="19"/>
      <c r="E13" s="19"/>
      <c r="F13" s="19"/>
      <c r="G13" s="20"/>
      <c r="H13" s="19"/>
      <c r="I13" s="19"/>
    </row>
    <row r="14">
      <c r="A14" s="16" t="s">
        <v>60</v>
      </c>
      <c r="B14" s="16">
        <v>0.5</v>
      </c>
      <c r="C14" s="16">
        <v>1026906.165</v>
      </c>
      <c r="D14" s="19"/>
      <c r="E14" s="19"/>
      <c r="F14" s="19"/>
      <c r="G14" s="20"/>
      <c r="H14" s="19"/>
      <c r="I14" s="19"/>
    </row>
    <row r="15">
      <c r="A15" s="16" t="s">
        <v>61</v>
      </c>
      <c r="B15" s="16">
        <v>1.0</v>
      </c>
      <c r="C15" s="16">
        <v>2139033.318</v>
      </c>
      <c r="D15" s="19"/>
      <c r="E15" s="19"/>
      <c r="F15" s="19"/>
      <c r="G15" s="20"/>
      <c r="H15" s="19"/>
      <c r="I15" s="19"/>
    </row>
    <row r="16">
      <c r="A16" s="16" t="s">
        <v>62</v>
      </c>
      <c r="B16" s="16">
        <v>2.0</v>
      </c>
      <c r="C16" s="16">
        <v>4334694.195</v>
      </c>
      <c r="D16" s="19"/>
      <c r="E16" s="19"/>
      <c r="F16" s="19"/>
      <c r="G16" s="20"/>
      <c r="H16" s="19"/>
      <c r="I16" s="19"/>
    </row>
    <row r="17">
      <c r="A17" s="16" t="s">
        <v>63</v>
      </c>
      <c r="B17" s="16">
        <v>4.0</v>
      </c>
      <c r="C17" s="16">
        <v>8553347.563</v>
      </c>
      <c r="D17" s="19"/>
      <c r="E17" s="19"/>
      <c r="F17" s="19"/>
      <c r="G17" s="20"/>
      <c r="H17" s="19"/>
      <c r="I17" s="19"/>
    </row>
    <row r="18">
      <c r="A18" s="16" t="s">
        <v>64</v>
      </c>
      <c r="B18" s="16">
        <v>6.0</v>
      </c>
      <c r="C18" s="16">
        <v>1.2678933784E7</v>
      </c>
      <c r="D18" s="19"/>
      <c r="E18" s="19"/>
      <c r="F18" s="19"/>
      <c r="G18" s="20"/>
      <c r="H18" s="19"/>
      <c r="I18" s="19"/>
    </row>
    <row r="19">
      <c r="A19" s="16" t="s">
        <v>65</v>
      </c>
      <c r="B19" s="16">
        <v>8.0</v>
      </c>
      <c r="C19" s="16">
        <v>1.6697622539E7</v>
      </c>
      <c r="D19" s="19"/>
      <c r="E19" s="19"/>
      <c r="F19" s="19"/>
      <c r="G19" s="20"/>
      <c r="H19" s="19"/>
      <c r="I19" s="19"/>
    </row>
    <row r="20">
      <c r="A20" s="12" t="s">
        <v>57</v>
      </c>
      <c r="B20" s="19"/>
      <c r="C20" s="19"/>
      <c r="D20" s="19"/>
      <c r="E20" s="19"/>
      <c r="F20" s="19"/>
      <c r="G20" s="20"/>
      <c r="H20" s="19"/>
      <c r="I20" s="19"/>
    </row>
    <row r="21">
      <c r="A21" s="20">
        <f t="array" ref="A21:B21">LINEST(C14:C19,B14:B19,TRUE,FALSE)</f>
        <v>2090037.816</v>
      </c>
      <c r="B21" s="20">
        <v>82454.08624788364</v>
      </c>
      <c r="C21" s="19"/>
      <c r="D21" s="19"/>
      <c r="E21" s="19"/>
      <c r="F21" s="19"/>
      <c r="G21" s="20"/>
      <c r="H21" s="19"/>
      <c r="I21" s="19"/>
    </row>
    <row r="22">
      <c r="A22" s="19"/>
      <c r="B22" s="19"/>
      <c r="C22" s="19"/>
      <c r="D22" s="19"/>
      <c r="E22" s="19"/>
      <c r="F22" s="19"/>
      <c r="G22" s="20"/>
      <c r="H22" s="19"/>
      <c r="I22" s="19"/>
    </row>
    <row r="23">
      <c r="A23" s="12" t="s">
        <v>66</v>
      </c>
      <c r="B23" s="12"/>
      <c r="C23" s="12"/>
      <c r="D23" s="19"/>
      <c r="E23" s="19"/>
      <c r="F23" s="19"/>
      <c r="G23" s="20"/>
      <c r="H23" s="19"/>
      <c r="I23" s="19"/>
    </row>
    <row r="24">
      <c r="A24" s="14" t="s">
        <v>43</v>
      </c>
      <c r="B24" s="14" t="s">
        <v>59</v>
      </c>
      <c r="C24" s="14" t="s">
        <v>6</v>
      </c>
      <c r="D24" s="19"/>
      <c r="E24" s="19"/>
      <c r="F24" s="19"/>
      <c r="G24" s="20"/>
      <c r="H24" s="19"/>
      <c r="I24" s="19"/>
    </row>
    <row r="25">
      <c r="A25" s="16" t="s">
        <v>60</v>
      </c>
      <c r="B25" s="16">
        <v>0.5</v>
      </c>
      <c r="C25" s="16">
        <v>1038765.536</v>
      </c>
      <c r="D25" s="19"/>
      <c r="E25" s="19"/>
      <c r="F25" s="19"/>
      <c r="G25" s="20"/>
      <c r="H25" s="19"/>
      <c r="I25" s="19"/>
    </row>
    <row r="26">
      <c r="A26" s="16" t="s">
        <v>61</v>
      </c>
      <c r="B26" s="16">
        <v>1.0</v>
      </c>
      <c r="C26" s="16">
        <v>2124055.909</v>
      </c>
      <c r="D26" s="19"/>
      <c r="E26" s="19"/>
      <c r="F26" s="19"/>
      <c r="G26" s="20"/>
      <c r="H26" s="19"/>
      <c r="I26" s="19"/>
    </row>
    <row r="27">
      <c r="A27" s="16" t="s">
        <v>62</v>
      </c>
      <c r="B27" s="16">
        <v>2.0</v>
      </c>
      <c r="C27" s="16">
        <v>4323090.077</v>
      </c>
      <c r="D27" s="19"/>
      <c r="E27" s="19"/>
      <c r="F27" s="19"/>
      <c r="G27" s="20"/>
      <c r="H27" s="19"/>
      <c r="I27" s="19"/>
    </row>
    <row r="28">
      <c r="A28" s="16" t="s">
        <v>67</v>
      </c>
      <c r="B28" s="16">
        <v>3.0</v>
      </c>
      <c r="C28" s="16">
        <v>6505745.069</v>
      </c>
      <c r="D28" s="19"/>
      <c r="E28" s="19"/>
      <c r="F28" s="19"/>
      <c r="G28" s="20"/>
      <c r="H28" s="19"/>
      <c r="I28" s="19"/>
    </row>
    <row r="29">
      <c r="A29" s="16" t="s">
        <v>68</v>
      </c>
      <c r="B29" s="16">
        <v>4.0</v>
      </c>
      <c r="C29" s="16">
        <v>8725559.886</v>
      </c>
      <c r="D29" s="19"/>
      <c r="E29" s="19"/>
      <c r="F29" s="19"/>
      <c r="G29" s="20"/>
      <c r="H29" s="19"/>
      <c r="I29" s="19"/>
    </row>
    <row r="30">
      <c r="A30" s="16" t="s">
        <v>69</v>
      </c>
      <c r="B30" s="16">
        <v>6.0</v>
      </c>
      <c r="C30" s="16">
        <v>1.2913358212E7</v>
      </c>
      <c r="D30" s="19"/>
      <c r="E30" s="19"/>
      <c r="F30" s="19"/>
      <c r="G30" s="20"/>
      <c r="H30" s="19"/>
      <c r="I30" s="19"/>
    </row>
    <row r="31">
      <c r="A31" s="12" t="s">
        <v>57</v>
      </c>
      <c r="B31" s="19"/>
      <c r="C31" s="19"/>
      <c r="D31" s="19"/>
      <c r="E31" s="19"/>
      <c r="F31" s="19"/>
      <c r="G31" s="20"/>
      <c r="H31" s="19"/>
      <c r="I31" s="19"/>
    </row>
    <row r="32">
      <c r="A32" s="20">
        <f t="array" ref="A32:B32">LINEST(C25:C30,B25:B30,TRUE,FALSE)</f>
        <v>2165516.765</v>
      </c>
      <c r="B32" s="20">
        <v>-16741.98758283361</v>
      </c>
      <c r="C32" s="19"/>
      <c r="D32" s="19"/>
      <c r="E32" s="19"/>
      <c r="F32" s="19"/>
      <c r="G32" s="20"/>
      <c r="H32" s="19"/>
      <c r="I32" s="19"/>
    </row>
    <row r="33">
      <c r="A33" s="19"/>
      <c r="B33" s="19"/>
      <c r="C33" s="19"/>
      <c r="D33" s="19"/>
      <c r="E33" s="19"/>
      <c r="F33" s="19"/>
      <c r="G33" s="20"/>
      <c r="H33" s="19"/>
      <c r="I33" s="19"/>
    </row>
    <row r="34">
      <c r="A34" s="19"/>
      <c r="B34" s="19"/>
      <c r="C34" s="19"/>
      <c r="D34" s="19"/>
      <c r="E34" s="19"/>
      <c r="F34" s="19"/>
      <c r="G34" s="20"/>
      <c r="H34" s="19"/>
      <c r="I34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2.13"/>
    <col customWidth="1" min="2" max="2" width="7.63"/>
    <col customWidth="1" min="3" max="3" width="14.5"/>
    <col customWidth="1" min="4" max="4" width="7.88"/>
    <col customWidth="1" min="5" max="5" width="14.5"/>
    <col customWidth="1" min="6" max="6" width="6.75"/>
    <col customWidth="1" min="7" max="7" width="10.5"/>
    <col customWidth="1" min="8" max="8" width="8.38"/>
    <col customWidth="1" min="9" max="9" width="7.88"/>
  </cols>
  <sheetData>
    <row r="1">
      <c r="A1" s="21" t="s">
        <v>0</v>
      </c>
      <c r="B1" s="21" t="s">
        <v>70</v>
      </c>
      <c r="C1" s="21" t="s">
        <v>2</v>
      </c>
      <c r="D1" s="22" t="s">
        <v>3</v>
      </c>
      <c r="E1" s="21" t="s">
        <v>4</v>
      </c>
      <c r="F1" s="23" t="s">
        <v>5</v>
      </c>
      <c r="G1" s="22" t="s">
        <v>6</v>
      </c>
      <c r="H1" s="24" t="s">
        <v>7</v>
      </c>
      <c r="I1" s="25" t="s">
        <v>8</v>
      </c>
    </row>
    <row r="2">
      <c r="A2" s="26">
        <v>1.0</v>
      </c>
      <c r="B2" s="27" t="s">
        <v>9</v>
      </c>
      <c r="C2" s="27" t="s">
        <v>10</v>
      </c>
      <c r="D2" s="28">
        <v>0.0</v>
      </c>
      <c r="E2" s="27" t="s">
        <v>11</v>
      </c>
      <c r="F2" s="29">
        <v>4.755</v>
      </c>
      <c r="G2" s="30">
        <v>3178704.0</v>
      </c>
      <c r="H2" s="31">
        <v>99.63</v>
      </c>
      <c r="I2" s="32">
        <f t="shared" ref="I2:I126" si="1">IF(OR(G2="",G2="-"),"",(G2+8530)/2200000)</f>
        <v>1.448742727</v>
      </c>
    </row>
    <row r="3">
      <c r="A3" s="26">
        <v>1.0</v>
      </c>
      <c r="B3" s="27" t="s">
        <v>9</v>
      </c>
      <c r="C3" s="27" t="s">
        <v>15</v>
      </c>
      <c r="D3" s="28">
        <v>1.0</v>
      </c>
      <c r="E3" s="27"/>
      <c r="F3" s="29">
        <v>5.92</v>
      </c>
      <c r="G3" s="30">
        <v>2716.0</v>
      </c>
      <c r="H3" s="31">
        <v>0.09</v>
      </c>
      <c r="I3" s="32">
        <f t="shared" si="1"/>
        <v>0.005111818182</v>
      </c>
    </row>
    <row r="4">
      <c r="A4" s="26">
        <v>1.0</v>
      </c>
      <c r="B4" s="33" t="s">
        <v>12</v>
      </c>
      <c r="C4" s="33" t="s">
        <v>10</v>
      </c>
      <c r="D4" s="34">
        <v>0.0</v>
      </c>
      <c r="E4" s="33" t="s">
        <v>11</v>
      </c>
      <c r="F4" s="35">
        <v>4.771</v>
      </c>
      <c r="G4" s="36">
        <v>992159.0</v>
      </c>
      <c r="H4" s="35">
        <v>32.94</v>
      </c>
      <c r="I4" s="32">
        <f t="shared" si="1"/>
        <v>0.4548586364</v>
      </c>
    </row>
    <row r="5">
      <c r="A5" s="26">
        <v>1.0</v>
      </c>
      <c r="B5" s="33" t="s">
        <v>12</v>
      </c>
      <c r="C5" s="33" t="s">
        <v>13</v>
      </c>
      <c r="D5" s="34">
        <v>1.0</v>
      </c>
      <c r="E5" s="33" t="s">
        <v>14</v>
      </c>
      <c r="F5" s="35">
        <v>5.807</v>
      </c>
      <c r="G5" s="36">
        <v>63584.0</v>
      </c>
      <c r="H5" s="35">
        <v>2.11</v>
      </c>
      <c r="I5" s="32">
        <f t="shared" si="1"/>
        <v>0.03277909091</v>
      </c>
    </row>
    <row r="6">
      <c r="A6" s="26">
        <v>1.0</v>
      </c>
      <c r="B6" s="33" t="s">
        <v>12</v>
      </c>
      <c r="C6" s="33" t="s">
        <v>15</v>
      </c>
      <c r="D6" s="34">
        <v>1.0</v>
      </c>
      <c r="E6" s="33" t="s">
        <v>16</v>
      </c>
      <c r="F6" s="35">
        <v>5.938</v>
      </c>
      <c r="G6" s="36">
        <v>1751603.0</v>
      </c>
      <c r="H6" s="35">
        <v>58.15</v>
      </c>
      <c r="I6" s="32">
        <f t="shared" si="1"/>
        <v>0.8000604545</v>
      </c>
    </row>
    <row r="7">
      <c r="A7" s="26">
        <v>1.0</v>
      </c>
      <c r="B7" s="33" t="s">
        <v>12</v>
      </c>
      <c r="C7" s="33" t="s">
        <v>17</v>
      </c>
      <c r="D7" s="34">
        <v>2.0</v>
      </c>
      <c r="E7" s="33" t="s">
        <v>18</v>
      </c>
      <c r="F7" s="35">
        <v>6.481</v>
      </c>
      <c r="G7" s="36">
        <v>171663.0</v>
      </c>
      <c r="H7" s="35">
        <v>5.7</v>
      </c>
      <c r="I7" s="32">
        <f t="shared" si="1"/>
        <v>0.08190590909</v>
      </c>
    </row>
    <row r="8">
      <c r="A8" s="26">
        <v>1.0</v>
      </c>
      <c r="B8" s="33" t="s">
        <v>12</v>
      </c>
      <c r="C8" s="33"/>
      <c r="D8" s="34">
        <v>2.0</v>
      </c>
      <c r="E8" s="33" t="s">
        <v>19</v>
      </c>
      <c r="F8" s="35">
        <v>6.622</v>
      </c>
      <c r="G8" s="36">
        <v>14712.0</v>
      </c>
      <c r="H8" s="35">
        <v>0.49</v>
      </c>
      <c r="I8" s="32">
        <f t="shared" si="1"/>
        <v>0.01056454545</v>
      </c>
    </row>
    <row r="9">
      <c r="A9" s="26">
        <v>1.0</v>
      </c>
      <c r="B9" s="33" t="s">
        <v>12</v>
      </c>
      <c r="C9" s="33"/>
      <c r="D9" s="34">
        <v>3.0</v>
      </c>
      <c r="E9" s="33" t="s">
        <v>20</v>
      </c>
      <c r="F9" s="35">
        <v>7.101</v>
      </c>
      <c r="G9" s="36">
        <v>5359.0</v>
      </c>
      <c r="H9" s="35">
        <v>0.18</v>
      </c>
      <c r="I9" s="32">
        <f t="shared" si="1"/>
        <v>0.006313181818</v>
      </c>
    </row>
    <row r="10">
      <c r="A10" s="26">
        <v>1.0</v>
      </c>
      <c r="B10" s="33" t="s">
        <v>21</v>
      </c>
      <c r="C10" s="33" t="s">
        <v>10</v>
      </c>
      <c r="D10" s="34">
        <v>0.0</v>
      </c>
      <c r="E10" s="33" t="s">
        <v>11</v>
      </c>
      <c r="F10" s="35">
        <v>4.776</v>
      </c>
      <c r="G10" s="36">
        <v>575822.0</v>
      </c>
      <c r="H10" s="35">
        <v>19.8</v>
      </c>
      <c r="I10" s="32">
        <f t="shared" si="1"/>
        <v>0.2656145455</v>
      </c>
    </row>
    <row r="11">
      <c r="A11" s="26">
        <v>1.0</v>
      </c>
      <c r="B11" s="33" t="s">
        <v>21</v>
      </c>
      <c r="C11" s="33" t="s">
        <v>13</v>
      </c>
      <c r="D11" s="34">
        <v>1.0</v>
      </c>
      <c r="E11" s="33" t="s">
        <v>14</v>
      </c>
      <c r="F11" s="35">
        <v>5.809</v>
      </c>
      <c r="G11" s="36">
        <v>57181.0</v>
      </c>
      <c r="H11" s="35">
        <v>1.97</v>
      </c>
      <c r="I11" s="32">
        <f t="shared" si="1"/>
        <v>0.02986863636</v>
      </c>
    </row>
    <row r="12">
      <c r="A12" s="26">
        <v>1.0</v>
      </c>
      <c r="B12" s="33" t="s">
        <v>21</v>
      </c>
      <c r="C12" s="33" t="s">
        <v>15</v>
      </c>
      <c r="D12" s="34">
        <v>1.0</v>
      </c>
      <c r="E12" s="33" t="s">
        <v>16</v>
      </c>
      <c r="F12" s="35">
        <v>5.943</v>
      </c>
      <c r="G12" s="36">
        <v>1960496.0</v>
      </c>
      <c r="H12" s="35">
        <v>67.42</v>
      </c>
      <c r="I12" s="32">
        <f t="shared" si="1"/>
        <v>0.8950118182</v>
      </c>
    </row>
    <row r="13">
      <c r="A13" s="26">
        <v>1.0</v>
      </c>
      <c r="B13" s="33" t="s">
        <v>21</v>
      </c>
      <c r="C13" s="33" t="s">
        <v>17</v>
      </c>
      <c r="D13" s="34">
        <v>2.0</v>
      </c>
      <c r="E13" s="33" t="s">
        <v>18</v>
      </c>
      <c r="F13" s="35">
        <v>6.487</v>
      </c>
      <c r="G13" s="36">
        <v>262470.0</v>
      </c>
      <c r="H13" s="35">
        <v>9.03</v>
      </c>
      <c r="I13" s="32">
        <f t="shared" si="1"/>
        <v>0.1231818182</v>
      </c>
    </row>
    <row r="14">
      <c r="A14" s="26">
        <v>1.0</v>
      </c>
      <c r="B14" s="33" t="s">
        <v>21</v>
      </c>
      <c r="C14" s="37"/>
      <c r="D14" s="34">
        <v>2.0</v>
      </c>
      <c r="E14" s="33" t="s">
        <v>19</v>
      </c>
      <c r="F14" s="35">
        <v>6.626</v>
      </c>
      <c r="G14" s="36">
        <v>26401.0</v>
      </c>
      <c r="H14" s="35">
        <v>0.91</v>
      </c>
      <c r="I14" s="32">
        <f t="shared" si="1"/>
        <v>0.01587772727</v>
      </c>
    </row>
    <row r="15">
      <c r="A15" s="26">
        <v>1.0</v>
      </c>
      <c r="B15" s="33" t="s">
        <v>21</v>
      </c>
      <c r="C15" s="33"/>
      <c r="D15" s="34">
        <v>2.0</v>
      </c>
      <c r="E15" s="33" t="s">
        <v>22</v>
      </c>
      <c r="F15" s="35">
        <v>6.773</v>
      </c>
      <c r="G15" s="36">
        <v>1143.0</v>
      </c>
      <c r="H15" s="35">
        <v>0.04</v>
      </c>
      <c r="I15" s="32">
        <f t="shared" si="1"/>
        <v>0.004396818182</v>
      </c>
    </row>
    <row r="16">
      <c r="A16" s="26">
        <v>1.0</v>
      </c>
      <c r="B16" s="33" t="s">
        <v>21</v>
      </c>
      <c r="C16" s="33"/>
      <c r="D16" s="34">
        <v>3.0</v>
      </c>
      <c r="E16" s="33" t="s">
        <v>20</v>
      </c>
      <c r="F16" s="35">
        <v>7.104</v>
      </c>
      <c r="G16" s="36">
        <v>9922.0</v>
      </c>
      <c r="H16" s="35">
        <v>0.34</v>
      </c>
      <c r="I16" s="32">
        <f t="shared" si="1"/>
        <v>0.008387272727</v>
      </c>
    </row>
    <row r="17">
      <c r="A17" s="26">
        <v>1.0</v>
      </c>
      <c r="B17" s="33" t="s">
        <v>23</v>
      </c>
      <c r="C17" s="33" t="s">
        <v>10</v>
      </c>
      <c r="D17" s="34">
        <v>0.0</v>
      </c>
      <c r="E17" s="33" t="s">
        <v>11</v>
      </c>
      <c r="F17" s="35">
        <v>4.78</v>
      </c>
      <c r="G17" s="36">
        <v>463017.0</v>
      </c>
      <c r="H17" s="35">
        <v>15.6</v>
      </c>
      <c r="I17" s="32">
        <f t="shared" si="1"/>
        <v>0.2143395455</v>
      </c>
    </row>
    <row r="18">
      <c r="A18" s="26">
        <v>1.0</v>
      </c>
      <c r="B18" s="33" t="s">
        <v>23</v>
      </c>
      <c r="C18" s="33" t="s">
        <v>13</v>
      </c>
      <c r="D18" s="34">
        <v>1.0</v>
      </c>
      <c r="E18" s="33" t="s">
        <v>14</v>
      </c>
      <c r="F18" s="35">
        <v>5.81</v>
      </c>
      <c r="G18" s="36">
        <v>53806.0</v>
      </c>
      <c r="H18" s="35">
        <v>1.81</v>
      </c>
      <c r="I18" s="32">
        <f t="shared" si="1"/>
        <v>0.02833454545</v>
      </c>
    </row>
    <row r="19">
      <c r="A19" s="26">
        <v>1.0</v>
      </c>
      <c r="B19" s="33" t="s">
        <v>23</v>
      </c>
      <c r="C19" s="33" t="s">
        <v>15</v>
      </c>
      <c r="D19" s="34">
        <v>1.0</v>
      </c>
      <c r="E19" s="33" t="s">
        <v>16</v>
      </c>
      <c r="F19" s="35">
        <v>5.945</v>
      </c>
      <c r="G19" s="36">
        <v>2088510.0</v>
      </c>
      <c r="H19" s="35">
        <v>70.35</v>
      </c>
      <c r="I19" s="32">
        <f t="shared" si="1"/>
        <v>0.9532</v>
      </c>
    </row>
    <row r="20">
      <c r="A20" s="26">
        <v>1.0</v>
      </c>
      <c r="B20" s="33" t="s">
        <v>23</v>
      </c>
      <c r="C20" s="33" t="s">
        <v>17</v>
      </c>
      <c r="D20" s="34">
        <v>2.0</v>
      </c>
      <c r="E20" s="33" t="s">
        <v>18</v>
      </c>
      <c r="F20" s="35">
        <v>6.49</v>
      </c>
      <c r="G20" s="36">
        <v>302901.0</v>
      </c>
      <c r="H20" s="35">
        <v>10.2</v>
      </c>
      <c r="I20" s="32">
        <f t="shared" si="1"/>
        <v>0.1415595455</v>
      </c>
    </row>
    <row r="21">
      <c r="A21" s="26">
        <v>1.0</v>
      </c>
      <c r="B21" s="33" t="s">
        <v>23</v>
      </c>
      <c r="C21" s="33"/>
      <c r="D21" s="34">
        <v>2.0</v>
      </c>
      <c r="E21" s="33" t="s">
        <v>19</v>
      </c>
      <c r="F21" s="35">
        <v>6.627</v>
      </c>
      <c r="G21" s="36">
        <v>15402.0</v>
      </c>
      <c r="H21" s="36">
        <v>0.52</v>
      </c>
      <c r="I21" s="32">
        <f t="shared" si="1"/>
        <v>0.01087818182</v>
      </c>
    </row>
    <row r="22">
      <c r="A22" s="26">
        <v>1.0</v>
      </c>
      <c r="B22" s="33" t="s">
        <v>23</v>
      </c>
      <c r="C22" s="33"/>
      <c r="D22" s="34">
        <v>2.0</v>
      </c>
      <c r="E22" s="33" t="s">
        <v>22</v>
      </c>
      <c r="F22" s="35">
        <v>6.713</v>
      </c>
      <c r="G22" s="36">
        <v>6038.0</v>
      </c>
      <c r="H22" s="36">
        <v>0.2</v>
      </c>
      <c r="I22" s="32">
        <f t="shared" si="1"/>
        <v>0.006621818182</v>
      </c>
    </row>
    <row r="23">
      <c r="A23" s="26">
        <v>1.0</v>
      </c>
      <c r="B23" s="33" t="s">
        <v>23</v>
      </c>
      <c r="C23" s="37"/>
      <c r="D23" s="34">
        <v>3.0</v>
      </c>
      <c r="E23" s="33" t="s">
        <v>20</v>
      </c>
      <c r="F23" s="35">
        <v>7.107</v>
      </c>
      <c r="G23" s="36">
        <v>10304.0</v>
      </c>
      <c r="H23" s="36">
        <v>0.35</v>
      </c>
      <c r="I23" s="32">
        <f t="shared" si="1"/>
        <v>0.008560909091</v>
      </c>
    </row>
    <row r="24">
      <c r="A24" s="26">
        <v>1.0</v>
      </c>
      <c r="B24" s="33" t="s">
        <v>24</v>
      </c>
      <c r="C24" s="33" t="s">
        <v>10</v>
      </c>
      <c r="D24" s="34">
        <v>0.0</v>
      </c>
      <c r="E24" s="33" t="s">
        <v>11</v>
      </c>
      <c r="F24" s="35">
        <v>4.767</v>
      </c>
      <c r="G24" s="36">
        <v>436071.0</v>
      </c>
      <c r="H24" s="36">
        <v>13.74</v>
      </c>
      <c r="I24" s="32">
        <f t="shared" si="1"/>
        <v>0.2020913636</v>
      </c>
    </row>
    <row r="25">
      <c r="A25" s="26">
        <v>1.0</v>
      </c>
      <c r="B25" s="33" t="s">
        <v>24</v>
      </c>
      <c r="C25" s="33" t="s">
        <v>13</v>
      </c>
      <c r="D25" s="34">
        <v>1.0</v>
      </c>
      <c r="E25" s="33" t="s">
        <v>14</v>
      </c>
      <c r="F25" s="35">
        <v>5.808</v>
      </c>
      <c r="G25" s="36">
        <v>55621.0</v>
      </c>
      <c r="H25" s="36">
        <v>1.75</v>
      </c>
      <c r="I25" s="32">
        <f t="shared" si="1"/>
        <v>0.02915954545</v>
      </c>
    </row>
    <row r="26">
      <c r="A26" s="26">
        <v>1.0</v>
      </c>
      <c r="B26" s="33" t="s">
        <v>24</v>
      </c>
      <c r="C26" s="33" t="s">
        <v>15</v>
      </c>
      <c r="D26" s="34">
        <v>1.0</v>
      </c>
      <c r="E26" s="33" t="s">
        <v>16</v>
      </c>
      <c r="F26" s="35">
        <v>5.945</v>
      </c>
      <c r="G26" s="36">
        <v>2252982.0</v>
      </c>
      <c r="H26" s="35">
        <v>70.98</v>
      </c>
      <c r="I26" s="32">
        <f t="shared" si="1"/>
        <v>1.02796</v>
      </c>
    </row>
    <row r="27">
      <c r="A27" s="26">
        <v>1.0</v>
      </c>
      <c r="B27" s="33" t="s">
        <v>24</v>
      </c>
      <c r="C27" s="33" t="s">
        <v>17</v>
      </c>
      <c r="D27" s="34">
        <v>2.0</v>
      </c>
      <c r="E27" s="33" t="s">
        <v>18</v>
      </c>
      <c r="F27" s="35">
        <v>6.489</v>
      </c>
      <c r="G27" s="36">
        <v>357489.0</v>
      </c>
      <c r="H27" s="35">
        <v>11.26</v>
      </c>
      <c r="I27" s="32">
        <f t="shared" si="1"/>
        <v>0.1663722727</v>
      </c>
    </row>
    <row r="28">
      <c r="A28" s="26">
        <v>1.0</v>
      </c>
      <c r="B28" s="33" t="s">
        <v>24</v>
      </c>
      <c r="C28" s="33"/>
      <c r="D28" s="34">
        <v>2.0</v>
      </c>
      <c r="E28" s="33" t="s">
        <v>19</v>
      </c>
      <c r="F28" s="38">
        <v>6.626</v>
      </c>
      <c r="G28" s="36">
        <v>20601.0</v>
      </c>
      <c r="H28" s="39">
        <v>0.65</v>
      </c>
      <c r="I28" s="32">
        <f t="shared" si="1"/>
        <v>0.01324136364</v>
      </c>
    </row>
    <row r="29">
      <c r="A29" s="26">
        <v>1.0</v>
      </c>
      <c r="B29" s="33" t="s">
        <v>24</v>
      </c>
      <c r="C29" s="33"/>
      <c r="D29" s="34">
        <v>2.0</v>
      </c>
      <c r="E29" s="33" t="s">
        <v>22</v>
      </c>
      <c r="F29" s="38">
        <v>6.712</v>
      </c>
      <c r="G29" s="36">
        <v>7651.0</v>
      </c>
      <c r="H29" s="39">
        <v>0.24</v>
      </c>
      <c r="I29" s="32">
        <f t="shared" si="1"/>
        <v>0.007355</v>
      </c>
    </row>
    <row r="30">
      <c r="A30" s="26">
        <v>1.0</v>
      </c>
      <c r="B30" s="33" t="s">
        <v>24</v>
      </c>
      <c r="C30" s="37"/>
      <c r="D30" s="34">
        <v>3.0</v>
      </c>
      <c r="E30" s="33" t="s">
        <v>20</v>
      </c>
      <c r="F30" s="38">
        <v>7.109</v>
      </c>
      <c r="G30" s="36">
        <v>14013.0</v>
      </c>
      <c r="H30" s="39">
        <v>0.44</v>
      </c>
      <c r="I30" s="32">
        <f t="shared" si="1"/>
        <v>0.01024681818</v>
      </c>
    </row>
    <row r="31">
      <c r="A31" s="26">
        <v>1.0</v>
      </c>
      <c r="B31" s="33" t="s">
        <v>25</v>
      </c>
      <c r="C31" s="33" t="s">
        <v>10</v>
      </c>
      <c r="D31" s="34">
        <v>0.0</v>
      </c>
      <c r="E31" s="33" t="s">
        <v>11</v>
      </c>
      <c r="F31" s="35">
        <v>4.777</v>
      </c>
      <c r="G31" s="36">
        <v>367940.0</v>
      </c>
      <c r="H31" s="35">
        <v>12.37</v>
      </c>
      <c r="I31" s="32">
        <f t="shared" si="1"/>
        <v>0.1711227273</v>
      </c>
    </row>
    <row r="32">
      <c r="A32" s="26">
        <v>1.0</v>
      </c>
      <c r="B32" s="33" t="s">
        <v>25</v>
      </c>
      <c r="C32" s="33" t="s">
        <v>13</v>
      </c>
      <c r="D32" s="34">
        <v>1.0</v>
      </c>
      <c r="E32" s="33" t="s">
        <v>14</v>
      </c>
      <c r="F32" s="35">
        <v>5.808</v>
      </c>
      <c r="G32" s="36">
        <v>49558.0</v>
      </c>
      <c r="H32" s="35">
        <v>1.67</v>
      </c>
      <c r="I32" s="32">
        <f t="shared" si="1"/>
        <v>0.02640363636</v>
      </c>
    </row>
    <row r="33">
      <c r="A33" s="26">
        <v>1.0</v>
      </c>
      <c r="B33" s="33" t="s">
        <v>25</v>
      </c>
      <c r="C33" s="33" t="s">
        <v>15</v>
      </c>
      <c r="D33" s="34">
        <v>1.0</v>
      </c>
      <c r="E33" s="33" t="s">
        <v>16</v>
      </c>
      <c r="F33" s="35">
        <v>5.945</v>
      </c>
      <c r="G33" s="36">
        <v>2137848.0</v>
      </c>
      <c r="H33" s="35">
        <v>71.87</v>
      </c>
      <c r="I33" s="32">
        <f t="shared" si="1"/>
        <v>0.9756263636</v>
      </c>
    </row>
    <row r="34">
      <c r="A34" s="26">
        <v>1.0</v>
      </c>
      <c r="B34" s="33" t="s">
        <v>25</v>
      </c>
      <c r="C34" s="33" t="s">
        <v>17</v>
      </c>
      <c r="D34" s="34">
        <v>2.0</v>
      </c>
      <c r="E34" s="33" t="s">
        <v>18</v>
      </c>
      <c r="F34" s="35">
        <v>6.49</v>
      </c>
      <c r="G34" s="36">
        <v>350950.0</v>
      </c>
      <c r="H34" s="35">
        <v>11.8</v>
      </c>
      <c r="I34" s="32">
        <f t="shared" si="1"/>
        <v>0.1634</v>
      </c>
    </row>
    <row r="35">
      <c r="A35" s="26">
        <v>1.0</v>
      </c>
      <c r="B35" s="33" t="s">
        <v>25</v>
      </c>
      <c r="C35" s="33"/>
      <c r="D35" s="34">
        <v>2.0</v>
      </c>
      <c r="E35" s="33" t="s">
        <v>19</v>
      </c>
      <c r="F35" s="35">
        <v>6.626</v>
      </c>
      <c r="G35" s="36">
        <v>18245.0</v>
      </c>
      <c r="H35" s="35">
        <v>0.61</v>
      </c>
      <c r="I35" s="32">
        <f t="shared" si="1"/>
        <v>0.01217045455</v>
      </c>
    </row>
    <row r="36">
      <c r="A36" s="26">
        <v>1.0</v>
      </c>
      <c r="B36" s="33" t="s">
        <v>25</v>
      </c>
      <c r="C36" s="33"/>
      <c r="D36" s="34">
        <v>2.0</v>
      </c>
      <c r="E36" s="33" t="s">
        <v>22</v>
      </c>
      <c r="F36" s="35">
        <v>6.712</v>
      </c>
      <c r="G36" s="36">
        <v>7288.0</v>
      </c>
      <c r="H36" s="35">
        <v>0.24</v>
      </c>
      <c r="I36" s="32">
        <f t="shared" si="1"/>
        <v>0.00719</v>
      </c>
    </row>
    <row r="37">
      <c r="A37" s="26">
        <v>1.0</v>
      </c>
      <c r="B37" s="33" t="s">
        <v>25</v>
      </c>
      <c r="C37" s="33"/>
      <c r="D37" s="34">
        <v>3.0</v>
      </c>
      <c r="E37" s="33" t="s">
        <v>20</v>
      </c>
      <c r="F37" s="35">
        <v>7.11</v>
      </c>
      <c r="G37" s="36">
        <v>13576.0</v>
      </c>
      <c r="H37" s="35">
        <v>0.46</v>
      </c>
      <c r="I37" s="32">
        <f t="shared" si="1"/>
        <v>0.01004818182</v>
      </c>
    </row>
    <row r="38">
      <c r="A38" s="26">
        <v>1.0</v>
      </c>
      <c r="B38" s="33" t="s">
        <v>26</v>
      </c>
      <c r="C38" s="33" t="s">
        <v>10</v>
      </c>
      <c r="D38" s="34">
        <v>0.0</v>
      </c>
      <c r="E38" s="33" t="s">
        <v>11</v>
      </c>
      <c r="F38" s="35">
        <v>4.772</v>
      </c>
      <c r="G38" s="36">
        <v>325751.0</v>
      </c>
      <c r="H38" s="35">
        <v>11.56</v>
      </c>
      <c r="I38" s="32">
        <f t="shared" si="1"/>
        <v>0.1519459091</v>
      </c>
    </row>
    <row r="39">
      <c r="A39" s="26">
        <v>1.0</v>
      </c>
      <c r="B39" s="33" t="s">
        <v>26</v>
      </c>
      <c r="C39" s="33" t="s">
        <v>13</v>
      </c>
      <c r="D39" s="34">
        <v>1.0</v>
      </c>
      <c r="E39" s="33" t="s">
        <v>14</v>
      </c>
      <c r="F39" s="35">
        <v>5.807</v>
      </c>
      <c r="G39" s="36">
        <v>45843.0</v>
      </c>
      <c r="H39" s="35">
        <v>1.63</v>
      </c>
      <c r="I39" s="32">
        <f t="shared" si="1"/>
        <v>0.024715</v>
      </c>
    </row>
    <row r="40">
      <c r="A40" s="26">
        <v>1.0</v>
      </c>
      <c r="B40" s="33" t="s">
        <v>26</v>
      </c>
      <c r="C40" s="33" t="s">
        <v>15</v>
      </c>
      <c r="D40" s="34">
        <v>1.0</v>
      </c>
      <c r="E40" s="33" t="s">
        <v>16</v>
      </c>
      <c r="F40" s="35">
        <v>5.942</v>
      </c>
      <c r="G40" s="36">
        <v>2029905.0</v>
      </c>
      <c r="H40" s="35">
        <v>72.06</v>
      </c>
      <c r="I40" s="32">
        <f t="shared" si="1"/>
        <v>0.9265613636</v>
      </c>
    </row>
    <row r="41">
      <c r="A41" s="26">
        <v>1.0</v>
      </c>
      <c r="B41" s="33" t="s">
        <v>26</v>
      </c>
      <c r="C41" s="33" t="s">
        <v>17</v>
      </c>
      <c r="D41" s="34">
        <v>2.0</v>
      </c>
      <c r="E41" s="33" t="s">
        <v>18</v>
      </c>
      <c r="F41" s="35">
        <v>6.488</v>
      </c>
      <c r="G41" s="36">
        <v>347256.0</v>
      </c>
      <c r="H41" s="35">
        <v>12.33</v>
      </c>
      <c r="I41" s="32">
        <f t="shared" si="1"/>
        <v>0.1617209091</v>
      </c>
    </row>
    <row r="42">
      <c r="A42" s="26">
        <v>1.0</v>
      </c>
      <c r="B42" s="33" t="s">
        <v>26</v>
      </c>
      <c r="C42" s="33"/>
      <c r="D42" s="34">
        <v>2.0</v>
      </c>
      <c r="E42" s="33" t="s">
        <v>19</v>
      </c>
      <c r="F42" s="35">
        <v>6.628</v>
      </c>
      <c r="G42" s="36">
        <v>17999.0</v>
      </c>
      <c r="H42" s="35">
        <v>0.64</v>
      </c>
      <c r="I42" s="32">
        <f t="shared" si="1"/>
        <v>0.01205863636</v>
      </c>
    </row>
    <row r="43">
      <c r="A43" s="26">
        <v>1.0</v>
      </c>
      <c r="B43" s="33" t="s">
        <v>26</v>
      </c>
      <c r="C43" s="33"/>
      <c r="D43" s="34">
        <v>2.0</v>
      </c>
      <c r="E43" s="33" t="s">
        <v>22</v>
      </c>
      <c r="F43" s="35">
        <v>6.714</v>
      </c>
      <c r="G43" s="36">
        <v>6883.0</v>
      </c>
      <c r="H43" s="35">
        <v>0.24</v>
      </c>
      <c r="I43" s="32">
        <f t="shared" si="1"/>
        <v>0.007005909091</v>
      </c>
    </row>
    <row r="44">
      <c r="A44" s="26">
        <v>1.0</v>
      </c>
      <c r="B44" s="33" t="s">
        <v>26</v>
      </c>
      <c r="C44" s="33"/>
      <c r="D44" s="34">
        <v>3.0</v>
      </c>
      <c r="E44" s="33" t="s">
        <v>20</v>
      </c>
      <c r="F44" s="35">
        <v>7.109</v>
      </c>
      <c r="G44" s="36">
        <v>13791.0</v>
      </c>
      <c r="H44" s="35">
        <v>0.49</v>
      </c>
      <c r="I44" s="32">
        <f t="shared" si="1"/>
        <v>0.01014590909</v>
      </c>
    </row>
    <row r="45">
      <c r="A45" s="26">
        <v>1.0</v>
      </c>
      <c r="B45" s="33" t="s">
        <v>27</v>
      </c>
      <c r="C45" s="33" t="s">
        <v>10</v>
      </c>
      <c r="D45" s="34">
        <v>0.0</v>
      </c>
      <c r="E45" s="33" t="s">
        <v>11</v>
      </c>
      <c r="F45" s="35">
        <v>4.775</v>
      </c>
      <c r="G45" s="36">
        <v>301482.0</v>
      </c>
      <c r="H45" s="35">
        <v>10.92</v>
      </c>
      <c r="I45" s="32">
        <f t="shared" si="1"/>
        <v>0.1409145455</v>
      </c>
    </row>
    <row r="46">
      <c r="A46" s="26">
        <v>1.0</v>
      </c>
      <c r="B46" s="33" t="s">
        <v>27</v>
      </c>
      <c r="C46" s="33" t="s">
        <v>13</v>
      </c>
      <c r="D46" s="34">
        <v>1.0</v>
      </c>
      <c r="E46" s="33" t="s">
        <v>14</v>
      </c>
      <c r="F46" s="35">
        <v>5.808</v>
      </c>
      <c r="G46" s="36">
        <v>44805.0</v>
      </c>
      <c r="H46" s="35">
        <v>1.62</v>
      </c>
      <c r="I46" s="32">
        <f t="shared" si="1"/>
        <v>0.02424318182</v>
      </c>
    </row>
    <row r="47">
      <c r="A47" s="26">
        <v>1.0</v>
      </c>
      <c r="B47" s="33" t="s">
        <v>27</v>
      </c>
      <c r="C47" s="33" t="s">
        <v>15</v>
      </c>
      <c r="D47" s="34">
        <v>1.0</v>
      </c>
      <c r="E47" s="33" t="s">
        <v>16</v>
      </c>
      <c r="F47" s="35">
        <v>5.942</v>
      </c>
      <c r="G47" s="40">
        <v>1979839.0</v>
      </c>
      <c r="H47" s="41">
        <v>71.74</v>
      </c>
      <c r="I47" s="32">
        <f t="shared" si="1"/>
        <v>0.9038040909</v>
      </c>
    </row>
    <row r="48">
      <c r="A48" s="26">
        <v>1.0</v>
      </c>
      <c r="B48" s="33" t="s">
        <v>27</v>
      </c>
      <c r="C48" s="33" t="s">
        <v>17</v>
      </c>
      <c r="D48" s="34">
        <v>2.0</v>
      </c>
      <c r="E48" s="33" t="s">
        <v>18</v>
      </c>
      <c r="F48" s="35">
        <v>6.494</v>
      </c>
      <c r="G48" s="36">
        <v>352695.0</v>
      </c>
      <c r="H48" s="35">
        <v>12.78</v>
      </c>
      <c r="I48" s="32">
        <f t="shared" si="1"/>
        <v>0.1641931818</v>
      </c>
    </row>
    <row r="49">
      <c r="A49" s="26">
        <v>1.0</v>
      </c>
      <c r="B49" s="33" t="s">
        <v>27</v>
      </c>
      <c r="C49" s="33"/>
      <c r="D49" s="34">
        <v>2.0</v>
      </c>
      <c r="E49" s="33" t="s">
        <v>19</v>
      </c>
      <c r="F49" s="35">
        <v>6.63</v>
      </c>
      <c r="G49" s="36">
        <v>22809.0</v>
      </c>
      <c r="H49" s="35">
        <v>0.83</v>
      </c>
      <c r="I49" s="32">
        <f t="shared" si="1"/>
        <v>0.014245</v>
      </c>
    </row>
    <row r="50">
      <c r="A50" s="26">
        <v>1.0</v>
      </c>
      <c r="B50" s="33" t="s">
        <v>27</v>
      </c>
      <c r="C50" s="33"/>
      <c r="D50" s="34">
        <v>2.0</v>
      </c>
      <c r="E50" s="33" t="s">
        <v>22</v>
      </c>
      <c r="F50" s="35">
        <v>6.717</v>
      </c>
      <c r="G50" s="36">
        <v>12733.0</v>
      </c>
      <c r="H50" s="35">
        <v>0.46</v>
      </c>
      <c r="I50" s="32">
        <f t="shared" si="1"/>
        <v>0.009665</v>
      </c>
    </row>
    <row r="51">
      <c r="A51" s="26">
        <v>1.0</v>
      </c>
      <c r="B51" s="33" t="s">
        <v>27</v>
      </c>
      <c r="C51" s="33"/>
      <c r="D51" s="34">
        <v>3.0</v>
      </c>
      <c r="E51" s="33" t="s">
        <v>20</v>
      </c>
      <c r="F51" s="35">
        <v>7.108</v>
      </c>
      <c r="G51" s="36">
        <v>14996.0</v>
      </c>
      <c r="H51" s="35">
        <v>0.54</v>
      </c>
      <c r="I51" s="32">
        <f t="shared" si="1"/>
        <v>0.01069363636</v>
      </c>
    </row>
    <row r="52">
      <c r="A52" s="26">
        <v>1.0</v>
      </c>
      <c r="B52" s="33" t="s">
        <v>28</v>
      </c>
      <c r="C52" s="33" t="s">
        <v>10</v>
      </c>
      <c r="D52" s="34">
        <v>0.0</v>
      </c>
      <c r="E52" s="33" t="s">
        <v>11</v>
      </c>
      <c r="F52" s="35">
        <v>4.773</v>
      </c>
      <c r="G52" s="36">
        <v>320818.0</v>
      </c>
      <c r="H52" s="35">
        <v>10.98</v>
      </c>
      <c r="I52" s="32">
        <f t="shared" si="1"/>
        <v>0.1497036364</v>
      </c>
    </row>
    <row r="53">
      <c r="A53" s="26">
        <v>1.0</v>
      </c>
      <c r="B53" s="33" t="s">
        <v>28</v>
      </c>
      <c r="C53" s="33" t="s">
        <v>13</v>
      </c>
      <c r="D53" s="34">
        <v>1.0</v>
      </c>
      <c r="E53" s="33" t="s">
        <v>14</v>
      </c>
      <c r="F53" s="35">
        <v>5.81</v>
      </c>
      <c r="G53" s="36">
        <v>46039.0</v>
      </c>
      <c r="H53" s="35">
        <v>1.58</v>
      </c>
      <c r="I53" s="32">
        <f t="shared" si="1"/>
        <v>0.02480409091</v>
      </c>
    </row>
    <row r="54">
      <c r="A54" s="26">
        <v>1.0</v>
      </c>
      <c r="B54" s="33" t="s">
        <v>28</v>
      </c>
      <c r="C54" s="33" t="s">
        <v>15</v>
      </c>
      <c r="D54" s="34">
        <v>1.0</v>
      </c>
      <c r="E54" s="33" t="s">
        <v>16</v>
      </c>
      <c r="F54" s="35">
        <v>5.946</v>
      </c>
      <c r="G54" s="36">
        <v>2115323.0</v>
      </c>
      <c r="H54" s="35">
        <v>72.39</v>
      </c>
      <c r="I54" s="32">
        <f t="shared" si="1"/>
        <v>0.9653877273</v>
      </c>
    </row>
    <row r="55">
      <c r="A55" s="26">
        <v>1.0</v>
      </c>
      <c r="B55" s="33" t="s">
        <v>28</v>
      </c>
      <c r="C55" s="33" t="s">
        <v>17</v>
      </c>
      <c r="D55" s="34">
        <v>2.0</v>
      </c>
      <c r="E55" s="33" t="s">
        <v>18</v>
      </c>
      <c r="F55" s="35">
        <v>6.488</v>
      </c>
      <c r="G55" s="36">
        <v>367858.0</v>
      </c>
      <c r="H55" s="35">
        <v>12.59</v>
      </c>
      <c r="I55" s="32">
        <f t="shared" si="1"/>
        <v>0.1710854545</v>
      </c>
    </row>
    <row r="56">
      <c r="A56" s="26">
        <v>1.0</v>
      </c>
      <c r="B56" s="33" t="s">
        <v>28</v>
      </c>
      <c r="C56" s="33"/>
      <c r="D56" s="34">
        <v>2.0</v>
      </c>
      <c r="E56" s="33" t="s">
        <v>19</v>
      </c>
      <c r="F56" s="35">
        <v>6.624</v>
      </c>
      <c r="G56" s="36">
        <v>18345.0</v>
      </c>
      <c r="H56" s="35">
        <v>0.63</v>
      </c>
      <c r="I56" s="32">
        <f t="shared" si="1"/>
        <v>0.01221590909</v>
      </c>
    </row>
    <row r="57">
      <c r="A57" s="26">
        <v>1.0</v>
      </c>
      <c r="B57" s="33" t="s">
        <v>28</v>
      </c>
      <c r="C57" s="33"/>
      <c r="D57" s="34">
        <v>2.0</v>
      </c>
      <c r="E57" s="33" t="s">
        <v>22</v>
      </c>
      <c r="F57" s="35">
        <v>6.715</v>
      </c>
      <c r="G57" s="36">
        <v>8036.0</v>
      </c>
      <c r="H57" s="35">
        <v>0.28</v>
      </c>
      <c r="I57" s="32">
        <f t="shared" si="1"/>
        <v>0.00753</v>
      </c>
    </row>
    <row r="58">
      <c r="A58" s="26">
        <v>1.0</v>
      </c>
      <c r="B58" s="33" t="s">
        <v>28</v>
      </c>
      <c r="C58" s="33"/>
      <c r="D58" s="34">
        <v>3.0</v>
      </c>
      <c r="E58" s="33" t="s">
        <v>20</v>
      </c>
      <c r="F58" s="35">
        <v>7.102</v>
      </c>
      <c r="G58" s="36">
        <v>13581.0</v>
      </c>
      <c r="H58" s="35">
        <v>0.46</v>
      </c>
      <c r="I58" s="32">
        <f t="shared" si="1"/>
        <v>0.01005045455</v>
      </c>
    </row>
    <row r="59">
      <c r="A59" s="26">
        <v>1.0</v>
      </c>
      <c r="B59" s="33" t="s">
        <v>29</v>
      </c>
      <c r="C59" s="33" t="s">
        <v>10</v>
      </c>
      <c r="D59" s="34">
        <v>0.0</v>
      </c>
      <c r="E59" s="41" t="s">
        <v>11</v>
      </c>
      <c r="F59" s="35">
        <v>4.774</v>
      </c>
      <c r="G59" s="40">
        <v>346185.0</v>
      </c>
      <c r="H59" s="41">
        <v>10.77</v>
      </c>
      <c r="I59" s="32">
        <f t="shared" si="1"/>
        <v>0.1612340909</v>
      </c>
    </row>
    <row r="60">
      <c r="A60" s="26">
        <v>1.0</v>
      </c>
      <c r="B60" s="33" t="s">
        <v>29</v>
      </c>
      <c r="C60" s="33" t="s">
        <v>13</v>
      </c>
      <c r="D60" s="34">
        <v>1.0</v>
      </c>
      <c r="E60" s="33" t="s">
        <v>14</v>
      </c>
      <c r="F60" s="35">
        <v>5.809</v>
      </c>
      <c r="G60" s="36">
        <v>50371.0</v>
      </c>
      <c r="H60" s="35">
        <v>1.57</v>
      </c>
      <c r="I60" s="32">
        <f t="shared" si="1"/>
        <v>0.02677318182</v>
      </c>
    </row>
    <row r="61">
      <c r="A61" s="26">
        <v>1.0</v>
      </c>
      <c r="B61" s="33" t="s">
        <v>29</v>
      </c>
      <c r="C61" s="33" t="s">
        <v>15</v>
      </c>
      <c r="D61" s="34">
        <v>1.0</v>
      </c>
      <c r="E61" s="41" t="s">
        <v>16</v>
      </c>
      <c r="F61" s="35">
        <v>5.946</v>
      </c>
      <c r="G61" s="40">
        <v>2326273.0</v>
      </c>
      <c r="H61" s="41">
        <v>72.36</v>
      </c>
      <c r="I61" s="32">
        <f t="shared" si="1"/>
        <v>1.061274091</v>
      </c>
    </row>
    <row r="62">
      <c r="A62" s="26">
        <v>1.0</v>
      </c>
      <c r="B62" s="33" t="s">
        <v>29</v>
      </c>
      <c r="C62" s="33" t="s">
        <v>17</v>
      </c>
      <c r="D62" s="34">
        <v>2.0</v>
      </c>
      <c r="E62" s="33" t="s">
        <v>18</v>
      </c>
      <c r="F62" s="35">
        <v>6.49</v>
      </c>
      <c r="G62" s="36">
        <v>408847.0</v>
      </c>
      <c r="H62" s="35">
        <v>12.72</v>
      </c>
      <c r="I62" s="32">
        <f t="shared" si="1"/>
        <v>0.1897168182</v>
      </c>
    </row>
    <row r="63">
      <c r="A63" s="26">
        <v>1.0</v>
      </c>
      <c r="B63" s="33" t="s">
        <v>29</v>
      </c>
      <c r="C63" s="33"/>
      <c r="D63" s="34">
        <v>2.0</v>
      </c>
      <c r="E63" s="33" t="s">
        <v>19</v>
      </c>
      <c r="F63" s="35">
        <v>6.625</v>
      </c>
      <c r="G63" s="36">
        <v>22263.0</v>
      </c>
      <c r="H63" s="35">
        <v>0.69</v>
      </c>
      <c r="I63" s="32">
        <f t="shared" si="1"/>
        <v>0.01399681818</v>
      </c>
    </row>
    <row r="64">
      <c r="A64" s="26">
        <v>1.0</v>
      </c>
      <c r="B64" s="33" t="s">
        <v>29</v>
      </c>
      <c r="C64" s="33"/>
      <c r="D64" s="34">
        <v>2.0</v>
      </c>
      <c r="E64" s="33" t="s">
        <v>22</v>
      </c>
      <c r="F64" s="35">
        <v>6.711</v>
      </c>
      <c r="G64" s="36">
        <v>9263.0</v>
      </c>
      <c r="H64" s="35">
        <v>0.29</v>
      </c>
      <c r="I64" s="32">
        <f t="shared" si="1"/>
        <v>0.008087727273</v>
      </c>
    </row>
    <row r="65">
      <c r="A65" s="26">
        <v>1.0</v>
      </c>
      <c r="B65" s="33" t="s">
        <v>29</v>
      </c>
      <c r="C65" s="33"/>
      <c r="D65" s="34">
        <v>3.0</v>
      </c>
      <c r="E65" s="33" t="s">
        <v>20</v>
      </c>
      <c r="F65" s="35">
        <v>7.106</v>
      </c>
      <c r="G65" s="36">
        <v>16148.0</v>
      </c>
      <c r="H65" s="35">
        <v>0.5</v>
      </c>
      <c r="I65" s="32">
        <f t="shared" si="1"/>
        <v>0.01121727273</v>
      </c>
    </row>
    <row r="66">
      <c r="A66" s="26">
        <v>1.0</v>
      </c>
      <c r="B66" s="33" t="s">
        <v>30</v>
      </c>
      <c r="C66" s="33" t="s">
        <v>10</v>
      </c>
      <c r="D66" s="34">
        <v>0.0</v>
      </c>
      <c r="E66" s="41" t="s">
        <v>11</v>
      </c>
      <c r="F66" s="35">
        <v>4.771</v>
      </c>
      <c r="G66" s="40">
        <v>320032.0</v>
      </c>
      <c r="H66" s="41">
        <v>10.3</v>
      </c>
      <c r="I66" s="32">
        <f t="shared" si="1"/>
        <v>0.1493463636</v>
      </c>
    </row>
    <row r="67">
      <c r="A67" s="26">
        <v>1.0</v>
      </c>
      <c r="B67" s="33" t="s">
        <v>30</v>
      </c>
      <c r="C67" s="33" t="s">
        <v>13</v>
      </c>
      <c r="D67" s="34">
        <v>1.0</v>
      </c>
      <c r="E67" s="33" t="s">
        <v>14</v>
      </c>
      <c r="F67" s="35">
        <v>5.808</v>
      </c>
      <c r="G67" s="36">
        <v>49743.0</v>
      </c>
      <c r="H67" s="35">
        <v>1.6</v>
      </c>
      <c r="I67" s="32">
        <f t="shared" si="1"/>
        <v>0.02648772727</v>
      </c>
    </row>
    <row r="68">
      <c r="A68" s="26">
        <v>1.0</v>
      </c>
      <c r="B68" s="33" t="s">
        <v>30</v>
      </c>
      <c r="C68" s="33" t="s">
        <v>15</v>
      </c>
      <c r="D68" s="34">
        <v>1.0</v>
      </c>
      <c r="E68" s="41" t="s">
        <v>16</v>
      </c>
      <c r="F68" s="35">
        <v>5.945</v>
      </c>
      <c r="G68" s="40">
        <v>2252356.0</v>
      </c>
      <c r="H68" s="41">
        <v>72.46</v>
      </c>
      <c r="I68" s="32">
        <f t="shared" si="1"/>
        <v>1.027675455</v>
      </c>
    </row>
    <row r="69">
      <c r="A69" s="26">
        <v>1.0</v>
      </c>
      <c r="B69" s="33" t="s">
        <v>30</v>
      </c>
      <c r="C69" s="33" t="s">
        <v>17</v>
      </c>
      <c r="D69" s="34">
        <v>2.0</v>
      </c>
      <c r="E69" s="33" t="s">
        <v>18</v>
      </c>
      <c r="F69" s="35">
        <v>6.489</v>
      </c>
      <c r="G69" s="36">
        <v>402395.0</v>
      </c>
      <c r="H69" s="35">
        <v>12.95</v>
      </c>
      <c r="I69" s="32">
        <f t="shared" si="1"/>
        <v>0.1867840909</v>
      </c>
    </row>
    <row r="70">
      <c r="A70" s="26">
        <v>1.0</v>
      </c>
      <c r="B70" s="33" t="s">
        <v>30</v>
      </c>
      <c r="C70" s="33"/>
      <c r="D70" s="34">
        <v>2.0</v>
      </c>
      <c r="E70" s="33" t="s">
        <v>19</v>
      </c>
      <c r="F70" s="35">
        <v>6.624</v>
      </c>
      <c r="G70" s="36">
        <v>21704.0</v>
      </c>
      <c r="H70" s="35">
        <v>0.7</v>
      </c>
      <c r="I70" s="32">
        <f t="shared" si="1"/>
        <v>0.01374272727</v>
      </c>
    </row>
    <row r="71">
      <c r="A71" s="26">
        <v>1.0</v>
      </c>
      <c r="B71" s="33" t="s">
        <v>30</v>
      </c>
      <c r="C71" s="33"/>
      <c r="D71" s="34">
        <v>2.0</v>
      </c>
      <c r="E71" s="33" t="s">
        <v>22</v>
      </c>
      <c r="F71" s="35">
        <v>6.711</v>
      </c>
      <c r="G71" s="36">
        <v>9947.0</v>
      </c>
      <c r="H71" s="35">
        <v>0.32</v>
      </c>
      <c r="I71" s="32">
        <f t="shared" si="1"/>
        <v>0.008398636364</v>
      </c>
    </row>
    <row r="72">
      <c r="A72" s="26">
        <v>1.0</v>
      </c>
      <c r="B72" s="33" t="s">
        <v>30</v>
      </c>
      <c r="C72" s="33"/>
      <c r="D72" s="34">
        <v>3.0</v>
      </c>
      <c r="E72" s="33" t="s">
        <v>20</v>
      </c>
      <c r="F72" s="35">
        <v>7.105</v>
      </c>
      <c r="G72" s="36">
        <v>16567.0</v>
      </c>
      <c r="H72" s="35">
        <v>0.53</v>
      </c>
      <c r="I72" s="32">
        <f t="shared" si="1"/>
        <v>0.01140772727</v>
      </c>
    </row>
    <row r="73">
      <c r="A73" s="26">
        <v>1.0</v>
      </c>
      <c r="B73" s="33" t="s">
        <v>31</v>
      </c>
      <c r="C73" s="33" t="s">
        <v>10</v>
      </c>
      <c r="D73" s="34">
        <v>0.0</v>
      </c>
      <c r="E73" s="41" t="s">
        <v>11</v>
      </c>
      <c r="F73" s="35">
        <v>4.763</v>
      </c>
      <c r="G73" s="40">
        <v>323256.0</v>
      </c>
      <c r="H73" s="41">
        <v>10.46</v>
      </c>
      <c r="I73" s="32">
        <f t="shared" si="1"/>
        <v>0.1508118182</v>
      </c>
    </row>
    <row r="74">
      <c r="A74" s="26">
        <v>1.0</v>
      </c>
      <c r="B74" s="33" t="s">
        <v>31</v>
      </c>
      <c r="C74" s="33" t="s">
        <v>13</v>
      </c>
      <c r="D74" s="34">
        <v>1.0</v>
      </c>
      <c r="E74" s="33" t="s">
        <v>14</v>
      </c>
      <c r="F74" s="35">
        <v>5.802</v>
      </c>
      <c r="G74" s="36">
        <v>48127.0</v>
      </c>
      <c r="H74" s="35">
        <v>1.56</v>
      </c>
      <c r="I74" s="32">
        <f t="shared" si="1"/>
        <v>0.02575318182</v>
      </c>
    </row>
    <row r="75">
      <c r="A75" s="26">
        <v>1.0</v>
      </c>
      <c r="B75" s="33" t="s">
        <v>31</v>
      </c>
      <c r="C75" s="33" t="s">
        <v>15</v>
      </c>
      <c r="D75" s="34">
        <v>1.0</v>
      </c>
      <c r="E75" s="41" t="s">
        <v>16</v>
      </c>
      <c r="F75" s="41">
        <v>5.939</v>
      </c>
      <c r="G75" s="40">
        <v>2226242.0</v>
      </c>
      <c r="H75" s="41">
        <v>72.03</v>
      </c>
      <c r="I75" s="32">
        <f t="shared" si="1"/>
        <v>1.015805455</v>
      </c>
    </row>
    <row r="76">
      <c r="A76" s="26">
        <v>1.0</v>
      </c>
      <c r="B76" s="33" t="s">
        <v>31</v>
      </c>
      <c r="C76" s="33" t="s">
        <v>17</v>
      </c>
      <c r="D76" s="34">
        <v>2.0</v>
      </c>
      <c r="E76" s="33" t="s">
        <v>18</v>
      </c>
      <c r="F76" s="35">
        <v>6.486</v>
      </c>
      <c r="G76" s="36">
        <v>399164.0</v>
      </c>
      <c r="H76" s="35">
        <v>12.92</v>
      </c>
      <c r="I76" s="32">
        <f t="shared" si="1"/>
        <v>0.1853154545</v>
      </c>
    </row>
    <row r="77">
      <c r="A77" s="26">
        <v>1.0</v>
      </c>
      <c r="B77" s="33" t="s">
        <v>31</v>
      </c>
      <c r="C77" s="33"/>
      <c r="D77" s="34">
        <v>2.0</v>
      </c>
      <c r="E77" s="33" t="s">
        <v>19</v>
      </c>
      <c r="F77" s="35">
        <v>6.619</v>
      </c>
      <c r="G77" s="36">
        <v>24906.0</v>
      </c>
      <c r="H77" s="35">
        <v>0.81</v>
      </c>
      <c r="I77" s="32">
        <f t="shared" si="1"/>
        <v>0.01519818182</v>
      </c>
    </row>
    <row r="78">
      <c r="A78" s="26">
        <v>1.0</v>
      </c>
      <c r="B78" s="33" t="s">
        <v>31</v>
      </c>
      <c r="C78" s="33"/>
      <c r="D78" s="34">
        <v>2.0</v>
      </c>
      <c r="E78" s="33" t="s">
        <v>22</v>
      </c>
      <c r="F78" s="35">
        <v>6.704</v>
      </c>
      <c r="G78" s="36">
        <v>11361.0</v>
      </c>
      <c r="H78" s="35">
        <v>0.37</v>
      </c>
      <c r="I78" s="32">
        <f t="shared" si="1"/>
        <v>0.009041363636</v>
      </c>
    </row>
    <row r="79">
      <c r="A79" s="26">
        <v>1.0</v>
      </c>
      <c r="B79" s="33" t="s">
        <v>31</v>
      </c>
      <c r="C79" s="33"/>
      <c r="D79" s="34">
        <v>3.0</v>
      </c>
      <c r="E79" s="33" t="s">
        <v>20</v>
      </c>
      <c r="F79" s="35">
        <v>7.104</v>
      </c>
      <c r="G79" s="36">
        <v>17294.0</v>
      </c>
      <c r="H79" s="35">
        <v>0.56</v>
      </c>
      <c r="I79" s="32">
        <f t="shared" si="1"/>
        <v>0.01173818182</v>
      </c>
    </row>
    <row r="80">
      <c r="A80" s="26">
        <v>1.0</v>
      </c>
      <c r="B80" s="33" t="s">
        <v>32</v>
      </c>
      <c r="C80" s="33" t="s">
        <v>10</v>
      </c>
      <c r="D80" s="34">
        <v>0.0</v>
      </c>
      <c r="E80" s="41" t="s">
        <v>11</v>
      </c>
      <c r="F80" s="41">
        <v>4.776</v>
      </c>
      <c r="G80" s="40">
        <v>313346.0</v>
      </c>
      <c r="H80" s="41">
        <v>10.35</v>
      </c>
      <c r="I80" s="32">
        <f t="shared" si="1"/>
        <v>0.1463072727</v>
      </c>
    </row>
    <row r="81">
      <c r="A81" s="26">
        <v>1.0</v>
      </c>
      <c r="B81" s="33" t="s">
        <v>32</v>
      </c>
      <c r="C81" s="33" t="s">
        <v>13</v>
      </c>
      <c r="D81" s="34">
        <v>1.0</v>
      </c>
      <c r="E81" s="33" t="s">
        <v>14</v>
      </c>
      <c r="F81" s="35">
        <v>5.807</v>
      </c>
      <c r="G81" s="36">
        <v>48077.0</v>
      </c>
      <c r="H81" s="35">
        <v>1.59</v>
      </c>
      <c r="I81" s="32">
        <f t="shared" si="1"/>
        <v>0.02573045455</v>
      </c>
    </row>
    <row r="82">
      <c r="A82" s="26">
        <v>1.0</v>
      </c>
      <c r="B82" s="33" t="s">
        <v>32</v>
      </c>
      <c r="C82" s="33" t="s">
        <v>15</v>
      </c>
      <c r="D82" s="34">
        <v>1.0</v>
      </c>
      <c r="E82" s="33" t="s">
        <v>16</v>
      </c>
      <c r="F82" s="35">
        <v>5.943</v>
      </c>
      <c r="G82" s="36">
        <v>2171641.0</v>
      </c>
      <c r="H82" s="35">
        <v>71.73</v>
      </c>
      <c r="I82" s="32">
        <f t="shared" si="1"/>
        <v>0.9909868182</v>
      </c>
    </row>
    <row r="83">
      <c r="A83" s="26">
        <v>1.0</v>
      </c>
      <c r="B83" s="33" t="s">
        <v>32</v>
      </c>
      <c r="C83" s="33"/>
      <c r="D83" s="34">
        <v>1.0</v>
      </c>
      <c r="E83" s="33" t="s">
        <v>33</v>
      </c>
      <c r="F83" s="35">
        <v>6.14</v>
      </c>
      <c r="G83" s="36">
        <v>11607.0</v>
      </c>
      <c r="H83" s="35">
        <v>0.38</v>
      </c>
      <c r="I83" s="32">
        <f t="shared" si="1"/>
        <v>0.009153181818</v>
      </c>
    </row>
    <row r="84">
      <c r="A84" s="26">
        <v>1.0</v>
      </c>
      <c r="B84" s="33" t="s">
        <v>32</v>
      </c>
      <c r="C84" s="33" t="s">
        <v>17</v>
      </c>
      <c r="D84" s="34">
        <v>2.0</v>
      </c>
      <c r="E84" s="33" t="s">
        <v>18</v>
      </c>
      <c r="F84" s="35">
        <v>6.487</v>
      </c>
      <c r="G84" s="36">
        <v>389659.0</v>
      </c>
      <c r="H84" s="35">
        <v>12.87</v>
      </c>
      <c r="I84" s="32">
        <f t="shared" si="1"/>
        <v>0.180995</v>
      </c>
    </row>
    <row r="85">
      <c r="A85" s="26">
        <v>1.0</v>
      </c>
      <c r="B85" s="33" t="s">
        <v>32</v>
      </c>
      <c r="C85" s="33"/>
      <c r="D85" s="34">
        <v>2.0</v>
      </c>
      <c r="E85" s="33" t="s">
        <v>19</v>
      </c>
      <c r="F85" s="35">
        <v>6.623</v>
      </c>
      <c r="G85" s="36">
        <v>23081.0</v>
      </c>
      <c r="H85" s="35">
        <v>0.76</v>
      </c>
      <c r="I85" s="32">
        <f t="shared" si="1"/>
        <v>0.01436863636</v>
      </c>
    </row>
    <row r="86">
      <c r="A86" s="26">
        <v>1.0</v>
      </c>
      <c r="B86" s="33" t="s">
        <v>32</v>
      </c>
      <c r="C86" s="33"/>
      <c r="D86" s="34">
        <v>2.0</v>
      </c>
      <c r="E86" s="33" t="s">
        <v>22</v>
      </c>
      <c r="F86" s="35">
        <v>6.71</v>
      </c>
      <c r="G86" s="36">
        <v>10724.0</v>
      </c>
      <c r="H86" s="35">
        <v>0.35</v>
      </c>
      <c r="I86" s="32">
        <f t="shared" si="1"/>
        <v>0.008751818182</v>
      </c>
    </row>
    <row r="87">
      <c r="A87" s="26">
        <v>1.0</v>
      </c>
      <c r="B87" s="33" t="s">
        <v>32</v>
      </c>
      <c r="C87" s="33"/>
      <c r="D87" s="34">
        <v>3.0</v>
      </c>
      <c r="E87" s="33" t="s">
        <v>20</v>
      </c>
      <c r="F87" s="35">
        <v>7.105</v>
      </c>
      <c r="G87" s="36">
        <v>17078.0</v>
      </c>
      <c r="H87" s="35">
        <v>0.56</v>
      </c>
      <c r="I87" s="32">
        <f t="shared" si="1"/>
        <v>0.01164</v>
      </c>
    </row>
    <row r="88">
      <c r="A88" s="26">
        <v>1.0</v>
      </c>
      <c r="B88" s="33" t="s">
        <v>34</v>
      </c>
      <c r="C88" s="41" t="s">
        <v>10</v>
      </c>
      <c r="D88" s="34">
        <v>0.0</v>
      </c>
      <c r="E88" s="41" t="s">
        <v>11</v>
      </c>
      <c r="F88" s="41">
        <v>4.775</v>
      </c>
      <c r="G88" s="40">
        <v>284522.0</v>
      </c>
      <c r="H88" s="41">
        <v>10.38</v>
      </c>
      <c r="I88" s="32">
        <f t="shared" si="1"/>
        <v>0.1332054545</v>
      </c>
    </row>
    <row r="89">
      <c r="A89" s="26">
        <v>1.0</v>
      </c>
      <c r="B89" s="33" t="s">
        <v>34</v>
      </c>
      <c r="C89" s="33" t="s">
        <v>13</v>
      </c>
      <c r="D89" s="34">
        <v>1.0</v>
      </c>
      <c r="E89" s="33" t="s">
        <v>14</v>
      </c>
      <c r="F89" s="35">
        <v>5.806</v>
      </c>
      <c r="G89" s="36">
        <v>43105.0</v>
      </c>
      <c r="H89" s="35">
        <v>1.57</v>
      </c>
      <c r="I89" s="32">
        <f t="shared" si="1"/>
        <v>0.02347045455</v>
      </c>
    </row>
    <row r="90">
      <c r="A90" s="26">
        <v>1.0</v>
      </c>
      <c r="B90" s="33" t="s">
        <v>34</v>
      </c>
      <c r="C90" s="33" t="s">
        <v>15</v>
      </c>
      <c r="D90" s="34">
        <v>1.0</v>
      </c>
      <c r="E90" s="33" t="s">
        <v>16</v>
      </c>
      <c r="F90" s="35">
        <v>5.94</v>
      </c>
      <c r="G90" s="36">
        <v>1965927.0</v>
      </c>
      <c r="H90" s="35">
        <v>71.69</v>
      </c>
      <c r="I90" s="32">
        <f t="shared" si="1"/>
        <v>0.8974804545</v>
      </c>
    </row>
    <row r="91">
      <c r="A91" s="26">
        <v>1.0</v>
      </c>
      <c r="B91" s="33" t="s">
        <v>34</v>
      </c>
      <c r="C91" s="33"/>
      <c r="D91" s="34">
        <v>1.0</v>
      </c>
      <c r="E91" s="33" t="s">
        <v>33</v>
      </c>
      <c r="F91" s="35">
        <v>6.14</v>
      </c>
      <c r="G91" s="36">
        <v>10697.0</v>
      </c>
      <c r="H91" s="35">
        <v>0.39</v>
      </c>
      <c r="I91" s="32">
        <f t="shared" si="1"/>
        <v>0.008739545455</v>
      </c>
    </row>
    <row r="92">
      <c r="A92" s="26">
        <v>1.0</v>
      </c>
      <c r="B92" s="33" t="s">
        <v>34</v>
      </c>
      <c r="C92" s="33" t="s">
        <v>17</v>
      </c>
      <c r="D92" s="34">
        <v>2.0</v>
      </c>
      <c r="E92" s="33" t="s">
        <v>18</v>
      </c>
      <c r="F92" s="35">
        <v>6.485</v>
      </c>
      <c r="G92" s="36">
        <v>352580.0</v>
      </c>
      <c r="H92" s="35">
        <v>12.86</v>
      </c>
      <c r="I92" s="32">
        <f t="shared" si="1"/>
        <v>0.1641409091</v>
      </c>
    </row>
    <row r="93">
      <c r="A93" s="26">
        <v>1.0</v>
      </c>
      <c r="B93" s="33" t="s">
        <v>34</v>
      </c>
      <c r="C93" s="33"/>
      <c r="D93" s="34">
        <v>2.0</v>
      </c>
      <c r="E93" s="33" t="s">
        <v>19</v>
      </c>
      <c r="F93" s="35">
        <v>6.622</v>
      </c>
      <c r="G93" s="36">
        <v>20570.0</v>
      </c>
      <c r="H93" s="35">
        <v>0.75</v>
      </c>
      <c r="I93" s="32">
        <f t="shared" si="1"/>
        <v>0.01322727273</v>
      </c>
    </row>
    <row r="94">
      <c r="A94" s="26">
        <v>1.0</v>
      </c>
      <c r="B94" s="33" t="s">
        <v>34</v>
      </c>
      <c r="C94" s="33"/>
      <c r="D94" s="34">
        <v>2.0</v>
      </c>
      <c r="E94" s="33" t="s">
        <v>22</v>
      </c>
      <c r="F94" s="35">
        <v>6.707</v>
      </c>
      <c r="G94" s="36">
        <v>10060.0</v>
      </c>
      <c r="H94" s="35">
        <v>0.37</v>
      </c>
      <c r="I94" s="32">
        <f t="shared" si="1"/>
        <v>0.00845</v>
      </c>
    </row>
    <row r="95">
      <c r="A95" s="26">
        <v>1.0</v>
      </c>
      <c r="B95" s="33" t="s">
        <v>34</v>
      </c>
      <c r="C95" s="33"/>
      <c r="D95" s="34">
        <v>3.0</v>
      </c>
      <c r="E95" s="33" t="s">
        <v>20</v>
      </c>
      <c r="F95" s="35">
        <v>7.102</v>
      </c>
      <c r="G95" s="36">
        <v>15206.0</v>
      </c>
      <c r="H95" s="35">
        <v>0.55</v>
      </c>
      <c r="I95" s="32">
        <f t="shared" si="1"/>
        <v>0.01078909091</v>
      </c>
    </row>
    <row r="96">
      <c r="A96" s="26">
        <v>1.0</v>
      </c>
      <c r="B96" s="33" t="s">
        <v>35</v>
      </c>
      <c r="C96" s="33" t="s">
        <v>10</v>
      </c>
      <c r="D96" s="34">
        <v>0.0</v>
      </c>
      <c r="E96" s="33" t="s">
        <v>14</v>
      </c>
      <c r="F96" s="38">
        <v>4.755</v>
      </c>
      <c r="G96" s="36">
        <v>308680.0</v>
      </c>
      <c r="H96" s="39">
        <v>10.03</v>
      </c>
      <c r="I96" s="32">
        <f t="shared" si="1"/>
        <v>0.1441863636</v>
      </c>
    </row>
    <row r="97">
      <c r="A97" s="26">
        <v>1.0</v>
      </c>
      <c r="B97" s="33" t="s">
        <v>35</v>
      </c>
      <c r="C97" s="33" t="s">
        <v>13</v>
      </c>
      <c r="D97" s="34">
        <v>1.0</v>
      </c>
      <c r="E97" s="33" t="s">
        <v>14</v>
      </c>
      <c r="F97" s="38">
        <v>5.804</v>
      </c>
      <c r="G97" s="36">
        <v>49510.0</v>
      </c>
      <c r="H97" s="39">
        <v>1.61</v>
      </c>
      <c r="I97" s="32">
        <f t="shared" si="1"/>
        <v>0.02638181818</v>
      </c>
    </row>
    <row r="98">
      <c r="A98" s="26">
        <v>1.0</v>
      </c>
      <c r="B98" s="33" t="s">
        <v>35</v>
      </c>
      <c r="C98" s="33" t="s">
        <v>15</v>
      </c>
      <c r="D98" s="34">
        <v>1.0</v>
      </c>
      <c r="E98" s="33" t="s">
        <v>16</v>
      </c>
      <c r="F98" s="38">
        <v>5.939</v>
      </c>
      <c r="G98" s="36">
        <v>2199676.0</v>
      </c>
      <c r="H98" s="39">
        <v>71.5</v>
      </c>
      <c r="I98" s="32">
        <f t="shared" si="1"/>
        <v>1.00373</v>
      </c>
    </row>
    <row r="99">
      <c r="A99" s="26">
        <v>1.0</v>
      </c>
      <c r="B99" s="33" t="s">
        <v>35</v>
      </c>
      <c r="C99" s="33" t="s">
        <v>17</v>
      </c>
      <c r="D99" s="34">
        <v>2.0</v>
      </c>
      <c r="E99" s="33" t="s">
        <v>18</v>
      </c>
      <c r="F99" s="38">
        <v>6.483</v>
      </c>
      <c r="G99" s="36">
        <v>396057.0</v>
      </c>
      <c r="H99" s="39">
        <v>12.87</v>
      </c>
      <c r="I99" s="32">
        <f t="shared" si="1"/>
        <v>0.1839031818</v>
      </c>
    </row>
    <row r="100">
      <c r="A100" s="26">
        <v>1.0</v>
      </c>
      <c r="B100" s="33" t="s">
        <v>35</v>
      </c>
      <c r="C100" s="33"/>
      <c r="D100" s="34">
        <v>2.0</v>
      </c>
      <c r="E100" s="33" t="s">
        <v>19</v>
      </c>
      <c r="F100" s="38">
        <v>6.618</v>
      </c>
      <c r="G100" s="36">
        <v>26393.0</v>
      </c>
      <c r="H100" s="39">
        <v>0.86</v>
      </c>
      <c r="I100" s="32">
        <f t="shared" si="1"/>
        <v>0.01587409091</v>
      </c>
    </row>
    <row r="101">
      <c r="A101" s="26">
        <v>1.0</v>
      </c>
      <c r="B101" s="33" t="s">
        <v>35</v>
      </c>
      <c r="C101" s="33"/>
      <c r="D101" s="34">
        <v>2.0</v>
      </c>
      <c r="E101" s="33" t="s">
        <v>22</v>
      </c>
      <c r="F101" s="38">
        <v>6.706</v>
      </c>
      <c r="G101" s="36">
        <v>12501.0</v>
      </c>
      <c r="H101" s="39">
        <v>0.41</v>
      </c>
      <c r="I101" s="32">
        <f t="shared" si="1"/>
        <v>0.009559545455</v>
      </c>
    </row>
    <row r="102">
      <c r="A102" s="26">
        <v>1.0</v>
      </c>
      <c r="B102" s="33" t="s">
        <v>35</v>
      </c>
      <c r="C102" s="33"/>
      <c r="D102" s="34">
        <v>3.0</v>
      </c>
      <c r="E102" s="33" t="s">
        <v>20</v>
      </c>
      <c r="F102" s="38">
        <v>7.101</v>
      </c>
      <c r="G102" s="36">
        <v>18658.0</v>
      </c>
      <c r="H102" s="39">
        <v>0.61</v>
      </c>
      <c r="I102" s="32">
        <f t="shared" si="1"/>
        <v>0.01235818182</v>
      </c>
    </row>
    <row r="103">
      <c r="A103" s="26">
        <v>1.0</v>
      </c>
      <c r="B103" s="33" t="s">
        <v>36</v>
      </c>
      <c r="C103" s="33" t="s">
        <v>10</v>
      </c>
      <c r="D103" s="34">
        <v>0.0</v>
      </c>
      <c r="E103" s="33" t="s">
        <v>11</v>
      </c>
      <c r="F103" s="38">
        <v>4.776</v>
      </c>
      <c r="G103" s="36">
        <v>323715.0</v>
      </c>
      <c r="H103" s="39">
        <v>9.94</v>
      </c>
      <c r="I103" s="32">
        <f t="shared" si="1"/>
        <v>0.1510204545</v>
      </c>
    </row>
    <row r="104">
      <c r="A104" s="26">
        <v>1.0</v>
      </c>
      <c r="B104" s="33" t="s">
        <v>36</v>
      </c>
      <c r="C104" s="33" t="s">
        <v>13</v>
      </c>
      <c r="D104" s="34">
        <v>1.0</v>
      </c>
      <c r="E104" s="33" t="s">
        <v>14</v>
      </c>
      <c r="F104" s="38">
        <v>5.804</v>
      </c>
      <c r="G104" s="36">
        <v>52051.0</v>
      </c>
      <c r="H104" s="39">
        <v>1.6</v>
      </c>
      <c r="I104" s="32">
        <f t="shared" si="1"/>
        <v>0.02753681818</v>
      </c>
    </row>
    <row r="105">
      <c r="A105" s="26">
        <v>1.0</v>
      </c>
      <c r="B105" s="33" t="s">
        <v>36</v>
      </c>
      <c r="C105" s="33" t="s">
        <v>15</v>
      </c>
      <c r="D105" s="34">
        <v>1.0</v>
      </c>
      <c r="E105" s="33" t="s">
        <v>16</v>
      </c>
      <c r="F105" s="38">
        <v>5.942</v>
      </c>
      <c r="G105" s="36">
        <v>2309208.0</v>
      </c>
      <c r="H105" s="39">
        <v>70.88</v>
      </c>
      <c r="I105" s="32">
        <f t="shared" si="1"/>
        <v>1.053517273</v>
      </c>
    </row>
    <row r="106">
      <c r="A106" s="26">
        <v>1.0</v>
      </c>
      <c r="B106" s="33" t="s">
        <v>36</v>
      </c>
      <c r="C106" s="33"/>
      <c r="D106" s="34">
        <v>1.0</v>
      </c>
      <c r="E106" s="33" t="s">
        <v>33</v>
      </c>
      <c r="F106" s="38">
        <v>6.14</v>
      </c>
      <c r="G106" s="36">
        <v>16575.0</v>
      </c>
      <c r="H106" s="39">
        <v>0.51</v>
      </c>
      <c r="I106" s="32">
        <f t="shared" si="1"/>
        <v>0.01141136364</v>
      </c>
    </row>
    <row r="107">
      <c r="A107" s="26">
        <v>1.0</v>
      </c>
      <c r="B107" s="33" t="s">
        <v>36</v>
      </c>
      <c r="C107" s="33" t="s">
        <v>17</v>
      </c>
      <c r="D107" s="34">
        <v>2.0</v>
      </c>
      <c r="E107" s="33" t="s">
        <v>18</v>
      </c>
      <c r="F107" s="38">
        <v>6.486</v>
      </c>
      <c r="G107" s="36">
        <v>415889.0</v>
      </c>
      <c r="H107" s="39">
        <v>12.76</v>
      </c>
      <c r="I107" s="32">
        <f t="shared" si="1"/>
        <v>0.1929177273</v>
      </c>
    </row>
    <row r="108">
      <c r="A108" s="26">
        <v>1.0</v>
      </c>
      <c r="B108" s="33" t="s">
        <v>36</v>
      </c>
      <c r="C108" s="33"/>
      <c r="D108" s="34">
        <v>2.0</v>
      </c>
      <c r="E108" s="33" t="s">
        <v>19</v>
      </c>
      <c r="F108" s="38">
        <v>6.619</v>
      </c>
      <c r="G108" s="36">
        <v>27958.0</v>
      </c>
      <c r="H108" s="39">
        <v>0.86</v>
      </c>
      <c r="I108" s="32">
        <f t="shared" si="1"/>
        <v>0.01658545455</v>
      </c>
    </row>
    <row r="109">
      <c r="A109" s="26">
        <v>1.0</v>
      </c>
      <c r="B109" s="33" t="s">
        <v>36</v>
      </c>
      <c r="C109" s="33"/>
      <c r="D109" s="34">
        <v>2.0</v>
      </c>
      <c r="E109" s="33" t="s">
        <v>22</v>
      </c>
      <c r="F109" s="38">
        <v>6.708</v>
      </c>
      <c r="G109" s="36">
        <v>13918.0</v>
      </c>
      <c r="H109" s="39">
        <v>0.43</v>
      </c>
      <c r="I109" s="32">
        <f t="shared" si="1"/>
        <v>0.01020363636</v>
      </c>
    </row>
    <row r="110">
      <c r="A110" s="26">
        <v>1.0</v>
      </c>
      <c r="B110" s="33" t="s">
        <v>36</v>
      </c>
      <c r="C110" s="33"/>
      <c r="D110" s="34">
        <v>3.0</v>
      </c>
      <c r="E110" s="33" t="s">
        <v>20</v>
      </c>
      <c r="F110" s="38">
        <v>7.103</v>
      </c>
      <c r="G110" s="36">
        <v>19807.0</v>
      </c>
      <c r="H110" s="39">
        <v>0.61</v>
      </c>
      <c r="I110" s="32">
        <f t="shared" si="1"/>
        <v>0.01288045455</v>
      </c>
    </row>
    <row r="111">
      <c r="A111" s="26">
        <v>1.0</v>
      </c>
      <c r="B111" s="33" t="s">
        <v>37</v>
      </c>
      <c r="C111" s="33" t="s">
        <v>10</v>
      </c>
      <c r="D111" s="34">
        <v>0.0</v>
      </c>
      <c r="E111" s="33" t="s">
        <v>16</v>
      </c>
      <c r="F111" s="38">
        <v>4.773</v>
      </c>
      <c r="G111" s="36">
        <v>300380.0</v>
      </c>
      <c r="H111" s="39">
        <v>9.97</v>
      </c>
      <c r="I111" s="32">
        <f t="shared" si="1"/>
        <v>0.1404136364</v>
      </c>
    </row>
    <row r="112">
      <c r="A112" s="26">
        <v>1.0</v>
      </c>
      <c r="B112" s="33" t="s">
        <v>37</v>
      </c>
      <c r="C112" s="33" t="s">
        <v>13</v>
      </c>
      <c r="D112" s="34">
        <v>1.0</v>
      </c>
      <c r="E112" s="33" t="s">
        <v>14</v>
      </c>
      <c r="F112" s="38">
        <v>5.813</v>
      </c>
      <c r="G112" s="36">
        <v>47994.0</v>
      </c>
      <c r="H112" s="39">
        <v>1.59</v>
      </c>
      <c r="I112" s="32">
        <f t="shared" si="1"/>
        <v>0.02569272727</v>
      </c>
    </row>
    <row r="113">
      <c r="A113" s="26">
        <v>1.0</v>
      </c>
      <c r="B113" s="33" t="s">
        <v>37</v>
      </c>
      <c r="C113" s="33" t="s">
        <v>15</v>
      </c>
      <c r="D113" s="34">
        <v>1.0</v>
      </c>
      <c r="E113" s="33" t="s">
        <v>16</v>
      </c>
      <c r="F113" s="38">
        <v>5.947</v>
      </c>
      <c r="G113" s="36">
        <v>2087941.0</v>
      </c>
      <c r="H113" s="39">
        <v>69.32</v>
      </c>
      <c r="I113" s="32">
        <f t="shared" si="1"/>
        <v>0.9529413636</v>
      </c>
    </row>
    <row r="114">
      <c r="A114" s="26">
        <v>1.0</v>
      </c>
      <c r="B114" s="33" t="s">
        <v>37</v>
      </c>
      <c r="C114" s="33"/>
      <c r="D114" s="34">
        <v>1.0</v>
      </c>
      <c r="E114" s="33" t="s">
        <v>33</v>
      </c>
      <c r="F114" s="38">
        <v>6.091</v>
      </c>
      <c r="G114" s="36">
        <v>66231.0</v>
      </c>
      <c r="H114" s="39">
        <v>2.2</v>
      </c>
      <c r="I114" s="32">
        <f t="shared" si="1"/>
        <v>0.03398227273</v>
      </c>
    </row>
    <row r="115">
      <c r="A115" s="26">
        <v>1.0</v>
      </c>
      <c r="B115" s="33" t="s">
        <v>37</v>
      </c>
      <c r="C115" s="33" t="s">
        <v>17</v>
      </c>
      <c r="D115" s="34">
        <v>2.0</v>
      </c>
      <c r="E115" s="33" t="s">
        <v>18</v>
      </c>
      <c r="F115" s="38">
        <v>6.487</v>
      </c>
      <c r="G115" s="36">
        <v>387092.0</v>
      </c>
      <c r="H115" s="39">
        <v>12.85</v>
      </c>
      <c r="I115" s="32">
        <f t="shared" si="1"/>
        <v>0.1798281818</v>
      </c>
    </row>
    <row r="116">
      <c r="A116" s="26">
        <v>1.0</v>
      </c>
      <c r="B116" s="33" t="s">
        <v>37</v>
      </c>
      <c r="C116" s="33"/>
      <c r="D116" s="34">
        <v>2.0</v>
      </c>
      <c r="E116" s="33" t="s">
        <v>19</v>
      </c>
      <c r="F116" s="38">
        <v>6.621</v>
      </c>
      <c r="G116" s="36">
        <v>22919.0</v>
      </c>
      <c r="H116" s="39">
        <v>0.76</v>
      </c>
      <c r="I116" s="32">
        <f t="shared" si="1"/>
        <v>0.014295</v>
      </c>
    </row>
    <row r="117">
      <c r="A117" s="26">
        <v>1.0</v>
      </c>
      <c r="B117" s="33" t="s">
        <v>37</v>
      </c>
      <c r="C117" s="33"/>
      <c r="D117" s="34">
        <v>2.0</v>
      </c>
      <c r="E117" s="33" t="s">
        <v>22</v>
      </c>
      <c r="F117" s="38">
        <v>6.711</v>
      </c>
      <c r="G117" s="36">
        <v>11768.0</v>
      </c>
      <c r="H117" s="39">
        <v>0.39</v>
      </c>
      <c r="I117" s="32">
        <f t="shared" si="1"/>
        <v>0.009226363636</v>
      </c>
    </row>
    <row r="118">
      <c r="A118" s="26">
        <v>1.0</v>
      </c>
      <c r="B118" s="33" t="s">
        <v>37</v>
      </c>
      <c r="C118" s="33"/>
      <c r="D118" s="34">
        <v>3.0</v>
      </c>
      <c r="E118" s="33" t="s">
        <v>20</v>
      </c>
      <c r="F118" s="38">
        <v>7.098</v>
      </c>
      <c r="G118" s="36">
        <v>18079.0</v>
      </c>
      <c r="H118" s="39">
        <v>0.6</v>
      </c>
      <c r="I118" s="32">
        <f t="shared" si="1"/>
        <v>0.012095</v>
      </c>
    </row>
    <row r="119">
      <c r="A119" s="26">
        <v>1.0</v>
      </c>
      <c r="B119" s="33" t="s">
        <v>38</v>
      </c>
      <c r="C119" s="33" t="s">
        <v>10</v>
      </c>
      <c r="D119" s="34">
        <v>0.0</v>
      </c>
      <c r="E119" s="33" t="s">
        <v>11</v>
      </c>
      <c r="F119" s="38">
        <v>4.785</v>
      </c>
      <c r="G119" s="36">
        <v>298794.0</v>
      </c>
      <c r="H119" s="39">
        <v>9.41</v>
      </c>
      <c r="I119" s="32">
        <f t="shared" si="1"/>
        <v>0.1396927273</v>
      </c>
    </row>
    <row r="120">
      <c r="A120" s="26">
        <v>1.0</v>
      </c>
      <c r="B120" s="33" t="s">
        <v>38</v>
      </c>
      <c r="C120" s="33" t="s">
        <v>13</v>
      </c>
      <c r="D120" s="34">
        <v>1.0</v>
      </c>
      <c r="E120" s="33" t="s">
        <v>14</v>
      </c>
      <c r="F120" s="38">
        <v>5.813</v>
      </c>
      <c r="G120" s="36">
        <v>52849.0</v>
      </c>
      <c r="H120" s="39">
        <v>1.66</v>
      </c>
      <c r="I120" s="32">
        <f t="shared" si="1"/>
        <v>0.02789954545</v>
      </c>
    </row>
    <row r="121">
      <c r="A121" s="26">
        <v>1.0</v>
      </c>
      <c r="B121" s="33" t="s">
        <v>38</v>
      </c>
      <c r="C121" s="33" t="s">
        <v>15</v>
      </c>
      <c r="D121" s="34">
        <v>1.0</v>
      </c>
      <c r="E121" s="33" t="s">
        <v>16</v>
      </c>
      <c r="F121" s="38">
        <v>5.95</v>
      </c>
      <c r="G121" s="36">
        <v>2144033.0</v>
      </c>
      <c r="H121" s="39">
        <v>67.5</v>
      </c>
      <c r="I121" s="32">
        <f t="shared" si="1"/>
        <v>0.9784377273</v>
      </c>
    </row>
    <row r="122">
      <c r="A122" s="26">
        <v>1.0</v>
      </c>
      <c r="B122" s="33" t="s">
        <v>38</v>
      </c>
      <c r="C122" s="41"/>
      <c r="D122" s="34">
        <v>1.0</v>
      </c>
      <c r="E122" s="41" t="s">
        <v>33</v>
      </c>
      <c r="F122" s="38">
        <v>6.095</v>
      </c>
      <c r="G122" s="36">
        <v>108670.0</v>
      </c>
      <c r="H122" s="39">
        <v>3.42</v>
      </c>
      <c r="I122" s="32">
        <f t="shared" si="1"/>
        <v>0.05327272727</v>
      </c>
    </row>
    <row r="123">
      <c r="A123" s="26">
        <v>1.0</v>
      </c>
      <c r="B123" s="33" t="s">
        <v>38</v>
      </c>
      <c r="C123" s="33" t="s">
        <v>17</v>
      </c>
      <c r="D123" s="34">
        <v>2.0</v>
      </c>
      <c r="E123" s="33" t="s">
        <v>18</v>
      </c>
      <c r="F123" s="38">
        <v>6.489</v>
      </c>
      <c r="G123" s="36">
        <v>400606.0</v>
      </c>
      <c r="H123" s="39">
        <v>12.61</v>
      </c>
      <c r="I123" s="32">
        <f t="shared" si="1"/>
        <v>0.1859709091</v>
      </c>
    </row>
    <row r="124">
      <c r="A124" s="26">
        <v>1.0</v>
      </c>
      <c r="B124" s="33" t="s">
        <v>38</v>
      </c>
      <c r="C124" s="33"/>
      <c r="D124" s="34">
        <v>2.0</v>
      </c>
      <c r="E124" s="33" t="s">
        <v>19</v>
      </c>
      <c r="F124" s="38">
        <v>6.62</v>
      </c>
      <c r="G124" s="36">
        <v>37232.0</v>
      </c>
      <c r="H124" s="39">
        <v>1.17</v>
      </c>
      <c r="I124" s="32">
        <f t="shared" si="1"/>
        <v>0.02080090909</v>
      </c>
    </row>
    <row r="125">
      <c r="A125" s="26">
        <v>1.0</v>
      </c>
      <c r="B125" s="33" t="s">
        <v>38</v>
      </c>
      <c r="C125" s="33"/>
      <c r="D125" s="34">
        <v>2.0</v>
      </c>
      <c r="E125" s="33" t="s">
        <v>22</v>
      </c>
      <c r="F125" s="38">
        <v>6.71</v>
      </c>
      <c r="G125" s="36">
        <v>16382.0</v>
      </c>
      <c r="H125" s="39">
        <v>0.52</v>
      </c>
      <c r="I125" s="32">
        <f t="shared" si="1"/>
        <v>0.01132363636</v>
      </c>
    </row>
    <row r="126">
      <c r="A126" s="26">
        <v>1.0</v>
      </c>
      <c r="B126" s="33" t="s">
        <v>38</v>
      </c>
      <c r="C126" s="33"/>
      <c r="D126" s="34">
        <v>3.0</v>
      </c>
      <c r="E126" s="33" t="s">
        <v>20</v>
      </c>
      <c r="F126" s="38">
        <v>7.097</v>
      </c>
      <c r="G126" s="36">
        <v>21306.0</v>
      </c>
      <c r="H126" s="39">
        <v>0.67</v>
      </c>
      <c r="I126" s="32">
        <f t="shared" si="1"/>
        <v>0.01356181818</v>
      </c>
    </row>
  </sheetData>
  <conditionalFormatting sqref="A2:I126">
    <cfRule type="expression" dxfId="0" priority="1">
      <formula>ISODD(MATCH($B2,UNIQUE($B$2:$B126),0))</formula>
    </cfRule>
  </conditionalFormatting>
  <dataValidations>
    <dataValidation type="list" allowBlank="1" showErrorMessage="1" sqref="E2:E126">
      <formula1>"A1,A1_B1,A1_B29,A1_B29_B1,B1,B1_B29,desb30,detemir"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.63"/>
    <col customWidth="1" min="2" max="2" width="7.63"/>
    <col customWidth="1" min="3" max="5" width="14.5"/>
    <col customWidth="1" min="6" max="6" width="6.75"/>
    <col customWidth="1" min="7" max="7" width="10.5"/>
    <col customWidth="1" min="8" max="8" width="6.13"/>
    <col customWidth="1" hidden="1" min="9" max="9" width="10.5"/>
    <col customWidth="1" hidden="1" min="10" max="10" width="9.25"/>
    <col customWidth="1" hidden="1" min="11" max="11" width="9.5"/>
    <col customWidth="1" hidden="1" min="12" max="12" width="12.63"/>
    <col customWidth="1" hidden="1" min="13" max="13" width="9.63"/>
    <col customWidth="1" hidden="1" min="14" max="14" width="9.25"/>
    <col customWidth="1" hidden="1" min="15" max="15" width="16.75"/>
    <col customWidth="1" hidden="1" min="16" max="16" width="12.38"/>
    <col customWidth="1" min="17" max="17" width="7.0"/>
  </cols>
  <sheetData>
    <row r="1">
      <c r="A1" s="21" t="s">
        <v>71</v>
      </c>
      <c r="B1" s="21" t="s">
        <v>70</v>
      </c>
      <c r="C1" s="21" t="s">
        <v>2</v>
      </c>
      <c r="D1" s="21" t="s">
        <v>3</v>
      </c>
      <c r="E1" s="21" t="s">
        <v>4</v>
      </c>
      <c r="F1" s="23" t="s">
        <v>5</v>
      </c>
      <c r="G1" s="22" t="s">
        <v>6</v>
      </c>
      <c r="H1" s="24" t="s">
        <v>7</v>
      </c>
      <c r="I1" s="24" t="s">
        <v>72</v>
      </c>
      <c r="J1" s="24" t="s">
        <v>73</v>
      </c>
      <c r="K1" s="24" t="s">
        <v>74</v>
      </c>
      <c r="L1" s="24" t="s">
        <v>75</v>
      </c>
      <c r="M1" s="24" t="s">
        <v>76</v>
      </c>
      <c r="N1" s="24" t="s">
        <v>77</v>
      </c>
      <c r="O1" s="21" t="s">
        <v>78</v>
      </c>
      <c r="P1" s="21" t="s">
        <v>79</v>
      </c>
      <c r="Q1" s="25" t="s">
        <v>8</v>
      </c>
    </row>
    <row r="2">
      <c r="A2" s="26">
        <v>1.0</v>
      </c>
      <c r="B2" s="27" t="s">
        <v>9</v>
      </c>
      <c r="C2" s="27" t="s">
        <v>80</v>
      </c>
      <c r="D2" s="27"/>
      <c r="E2" s="27"/>
      <c r="F2" s="29">
        <v>4.349</v>
      </c>
      <c r="G2" s="30">
        <v>8709.0</v>
      </c>
      <c r="H2" s="31">
        <v>0.26</v>
      </c>
      <c r="I2" s="31">
        <v>3392713.0</v>
      </c>
      <c r="J2" s="31">
        <v>2418.0</v>
      </c>
      <c r="K2" s="31">
        <v>9.552</v>
      </c>
      <c r="L2" s="31" t="s">
        <v>81</v>
      </c>
      <c r="M2" s="31" t="s">
        <v>81</v>
      </c>
      <c r="N2" s="31">
        <v>70891.329</v>
      </c>
      <c r="O2" s="42">
        <v>1.613933825161E12</v>
      </c>
      <c r="P2" s="42">
        <v>1348.0</v>
      </c>
      <c r="Q2" s="32">
        <f t="shared" ref="Q2:Q223" si="1">IF(OR(G2="",G2="-"),"",(G2+8530)/2200000)</f>
        <v>0.007835909091</v>
      </c>
    </row>
    <row r="3">
      <c r="A3" s="26">
        <v>2.0</v>
      </c>
      <c r="B3" s="27" t="s">
        <v>9</v>
      </c>
      <c r="C3" s="27" t="s">
        <v>10</v>
      </c>
      <c r="D3" s="27">
        <v>0.0</v>
      </c>
      <c r="E3" s="27" t="s">
        <v>11</v>
      </c>
      <c r="F3" s="29">
        <v>4.757</v>
      </c>
      <c r="G3" s="30">
        <v>3337635.0</v>
      </c>
      <c r="H3" s="31">
        <v>98.38</v>
      </c>
      <c r="I3" s="31">
        <v>3392713.0</v>
      </c>
      <c r="J3" s="31">
        <v>743228.0</v>
      </c>
      <c r="K3" s="31">
        <v>47.76</v>
      </c>
      <c r="L3" s="31">
        <v>4.426</v>
      </c>
      <c r="M3" s="31">
        <v>1.157</v>
      </c>
      <c r="N3" s="31">
        <v>30641.223</v>
      </c>
      <c r="O3" s="42">
        <v>1.613933825161E12</v>
      </c>
      <c r="P3" s="42">
        <v>1348.0</v>
      </c>
      <c r="Q3" s="32">
        <f t="shared" si="1"/>
        <v>1.520984091</v>
      </c>
    </row>
    <row r="4">
      <c r="A4" s="26">
        <v>3.0</v>
      </c>
      <c r="B4" s="27" t="s">
        <v>9</v>
      </c>
      <c r="C4" s="27" t="s">
        <v>82</v>
      </c>
      <c r="D4" s="27"/>
      <c r="E4" s="27"/>
      <c r="F4" s="29">
        <v>4.9</v>
      </c>
      <c r="G4" s="30" t="s">
        <v>81</v>
      </c>
      <c r="H4" s="31" t="s">
        <v>81</v>
      </c>
      <c r="I4" s="31">
        <v>3392713.0</v>
      </c>
      <c r="J4" s="31" t="s">
        <v>81</v>
      </c>
      <c r="K4" s="31" t="s">
        <v>81</v>
      </c>
      <c r="L4" s="31" t="s">
        <v>81</v>
      </c>
      <c r="M4" s="31" t="s">
        <v>81</v>
      </c>
      <c r="N4" s="31" t="s">
        <v>81</v>
      </c>
      <c r="O4" s="42">
        <v>1.613933825161E12</v>
      </c>
      <c r="P4" s="42">
        <v>1348.0</v>
      </c>
      <c r="Q4" s="32" t="str">
        <f t="shared" si="1"/>
        <v/>
      </c>
    </row>
    <row r="5">
      <c r="A5" s="26">
        <v>4.0</v>
      </c>
      <c r="B5" s="27" t="s">
        <v>9</v>
      </c>
      <c r="C5" s="27" t="s">
        <v>81</v>
      </c>
      <c r="D5" s="27"/>
      <c r="E5" s="27"/>
      <c r="F5" s="29">
        <v>5.384</v>
      </c>
      <c r="G5" s="30">
        <v>42631.0</v>
      </c>
      <c r="H5" s="31">
        <v>1.26</v>
      </c>
      <c r="I5" s="31">
        <v>3392713.0</v>
      </c>
      <c r="J5" s="31">
        <v>2469.0</v>
      </c>
      <c r="K5" s="31">
        <v>34.857</v>
      </c>
      <c r="L5" s="31" t="s">
        <v>81</v>
      </c>
      <c r="M5" s="31" t="s">
        <v>81</v>
      </c>
      <c r="N5" s="31" t="s">
        <v>81</v>
      </c>
      <c r="O5" s="42">
        <v>1.613933825161E12</v>
      </c>
      <c r="P5" s="42">
        <v>1348.0</v>
      </c>
      <c r="Q5" s="32">
        <f t="shared" si="1"/>
        <v>0.023255</v>
      </c>
    </row>
    <row r="6">
      <c r="A6" s="26">
        <v>5.0</v>
      </c>
      <c r="B6" s="27" t="s">
        <v>9</v>
      </c>
      <c r="C6" s="27" t="s">
        <v>13</v>
      </c>
      <c r="D6" s="27"/>
      <c r="E6" s="27"/>
      <c r="F6" s="29">
        <v>5.79</v>
      </c>
      <c r="G6" s="30" t="s">
        <v>81</v>
      </c>
      <c r="H6" s="31" t="s">
        <v>81</v>
      </c>
      <c r="I6" s="31">
        <v>3392713.0</v>
      </c>
      <c r="J6" s="31" t="s">
        <v>81</v>
      </c>
      <c r="K6" s="31" t="s">
        <v>81</v>
      </c>
      <c r="L6" s="31" t="s">
        <v>81</v>
      </c>
      <c r="M6" s="31" t="s">
        <v>81</v>
      </c>
      <c r="N6" s="31" t="s">
        <v>81</v>
      </c>
      <c r="O6" s="42">
        <v>1.613933825161E12</v>
      </c>
      <c r="P6" s="42">
        <v>1348.0</v>
      </c>
      <c r="Q6" s="32" t="str">
        <f t="shared" si="1"/>
        <v/>
      </c>
    </row>
    <row r="7">
      <c r="A7" s="26">
        <v>6.0</v>
      </c>
      <c r="B7" s="27" t="s">
        <v>9</v>
      </c>
      <c r="C7" s="27" t="s">
        <v>15</v>
      </c>
      <c r="D7" s="27"/>
      <c r="E7" s="27"/>
      <c r="F7" s="29">
        <v>5.876</v>
      </c>
      <c r="G7" s="30">
        <v>3013.0</v>
      </c>
      <c r="H7" s="31">
        <v>0.09</v>
      </c>
      <c r="I7" s="31">
        <v>3392713.0</v>
      </c>
      <c r="J7" s="31">
        <v>1240.0</v>
      </c>
      <c r="K7" s="31">
        <v>12.103</v>
      </c>
      <c r="L7" s="31" t="s">
        <v>81</v>
      </c>
      <c r="M7" s="31" t="s">
        <v>81</v>
      </c>
      <c r="N7" s="31">
        <v>268020.766</v>
      </c>
      <c r="O7" s="42">
        <v>1.613933825161E12</v>
      </c>
      <c r="P7" s="42">
        <v>1348.0</v>
      </c>
      <c r="Q7" s="32">
        <f t="shared" si="1"/>
        <v>0.005246818182</v>
      </c>
    </row>
    <row r="8">
      <c r="A8" s="26">
        <v>7.0</v>
      </c>
      <c r="B8" s="27" t="s">
        <v>9</v>
      </c>
      <c r="C8" s="27" t="s">
        <v>17</v>
      </c>
      <c r="D8" s="27"/>
      <c r="E8" s="27"/>
      <c r="F8" s="29">
        <v>6.48</v>
      </c>
      <c r="G8" s="30" t="s">
        <v>81</v>
      </c>
      <c r="H8" s="31" t="s">
        <v>81</v>
      </c>
      <c r="I8" s="31">
        <v>3392713.0</v>
      </c>
      <c r="J8" s="31" t="s">
        <v>81</v>
      </c>
      <c r="K8" s="31" t="s">
        <v>81</v>
      </c>
      <c r="L8" s="31" t="s">
        <v>81</v>
      </c>
      <c r="M8" s="31" t="s">
        <v>81</v>
      </c>
      <c r="N8" s="31" t="s">
        <v>81</v>
      </c>
      <c r="O8" s="42">
        <v>1.613933825161E12</v>
      </c>
      <c r="P8" s="42">
        <v>1348.0</v>
      </c>
      <c r="Q8" s="32" t="str">
        <f t="shared" si="1"/>
        <v/>
      </c>
    </row>
    <row r="9">
      <c r="A9" s="26">
        <v>8.0</v>
      </c>
      <c r="B9" s="27" t="s">
        <v>9</v>
      </c>
      <c r="C9" s="27" t="s">
        <v>81</v>
      </c>
      <c r="D9" s="27"/>
      <c r="E9" s="27"/>
      <c r="F9" s="29">
        <v>7.063</v>
      </c>
      <c r="G9" s="30">
        <v>726.0</v>
      </c>
      <c r="H9" s="31">
        <v>0.02</v>
      </c>
      <c r="I9" s="31">
        <v>3392713.0</v>
      </c>
      <c r="J9" s="31">
        <v>147.0</v>
      </c>
      <c r="K9" s="31">
        <v>8.902</v>
      </c>
      <c r="L9" s="31">
        <v>8.72</v>
      </c>
      <c r="M9" s="31">
        <v>1.417</v>
      </c>
      <c r="N9" s="31" t="s">
        <v>81</v>
      </c>
      <c r="O9" s="42">
        <v>1.613933825161E12</v>
      </c>
      <c r="P9" s="42">
        <v>1348.0</v>
      </c>
      <c r="Q9" s="32">
        <f t="shared" si="1"/>
        <v>0.004207272727</v>
      </c>
    </row>
    <row r="10">
      <c r="A10" s="16">
        <v>1.0</v>
      </c>
      <c r="B10" s="33" t="s">
        <v>12</v>
      </c>
      <c r="C10" s="33" t="s">
        <v>80</v>
      </c>
      <c r="D10" s="33"/>
      <c r="E10" s="33"/>
      <c r="F10" s="35">
        <v>4.353</v>
      </c>
      <c r="G10" s="35">
        <v>4154.0</v>
      </c>
      <c r="H10" s="35">
        <v>0.13</v>
      </c>
      <c r="I10" s="35">
        <v>3142566.0</v>
      </c>
      <c r="J10" s="35">
        <v>1093.0</v>
      </c>
      <c r="K10" s="35">
        <v>12.003</v>
      </c>
      <c r="L10" s="43"/>
      <c r="M10" s="43"/>
      <c r="N10" s="39">
        <v>69372.554</v>
      </c>
      <c r="O10" s="35">
        <v>1.613933825161E12</v>
      </c>
      <c r="P10" s="35">
        <v>1349.0</v>
      </c>
      <c r="Q10" s="32">
        <f t="shared" si="1"/>
        <v>0.005765454545</v>
      </c>
    </row>
    <row r="11">
      <c r="A11" s="16">
        <v>2.0</v>
      </c>
      <c r="B11" s="33" t="s">
        <v>12</v>
      </c>
      <c r="C11" s="33" t="s">
        <v>10</v>
      </c>
      <c r="D11" s="33">
        <v>0.0</v>
      </c>
      <c r="E11" s="33" t="s">
        <v>11</v>
      </c>
      <c r="F11" s="35">
        <v>4.769</v>
      </c>
      <c r="G11" s="35">
        <v>1037395.0</v>
      </c>
      <c r="H11" s="35">
        <v>33.01</v>
      </c>
      <c r="I11" s="35">
        <v>3142566.0</v>
      </c>
      <c r="J11" s="35">
        <v>288497.0</v>
      </c>
      <c r="K11" s="35">
        <v>35.158</v>
      </c>
      <c r="L11" s="39">
        <v>5.041</v>
      </c>
      <c r="M11" s="39">
        <v>1.244</v>
      </c>
      <c r="N11" s="39">
        <v>52555.93</v>
      </c>
      <c r="O11" s="35">
        <v>1.613933825161E12</v>
      </c>
      <c r="P11" s="35">
        <v>1349.0</v>
      </c>
      <c r="Q11" s="32">
        <f t="shared" si="1"/>
        <v>0.4754204545</v>
      </c>
    </row>
    <row r="12">
      <c r="A12" s="16">
        <v>3.0</v>
      </c>
      <c r="B12" s="33" t="s">
        <v>12</v>
      </c>
      <c r="C12" s="33" t="s">
        <v>82</v>
      </c>
      <c r="D12" s="33"/>
      <c r="E12" s="33"/>
      <c r="F12" s="35">
        <v>5.051</v>
      </c>
      <c r="G12" s="35">
        <v>14560.0</v>
      </c>
      <c r="H12" s="35">
        <v>0.46</v>
      </c>
      <c r="I12" s="35">
        <v>3142566.0</v>
      </c>
      <c r="J12" s="35">
        <v>2514.0</v>
      </c>
      <c r="K12" s="35">
        <v>9.602</v>
      </c>
      <c r="L12" s="35">
        <v>2.238</v>
      </c>
      <c r="M12" s="35">
        <v>1.004</v>
      </c>
      <c r="N12" s="39"/>
      <c r="O12" s="35">
        <v>1.613933825161E12</v>
      </c>
      <c r="P12" s="35">
        <v>1349.0</v>
      </c>
      <c r="Q12" s="32">
        <f t="shared" si="1"/>
        <v>0.01049545455</v>
      </c>
    </row>
    <row r="13">
      <c r="A13" s="16">
        <v>4.0</v>
      </c>
      <c r="B13" s="33" t="s">
        <v>12</v>
      </c>
      <c r="C13" s="37"/>
      <c r="D13" s="37"/>
      <c r="E13" s="37"/>
      <c r="F13" s="35">
        <v>5.286</v>
      </c>
      <c r="G13" s="35">
        <v>4832.0</v>
      </c>
      <c r="H13" s="35">
        <v>0.15</v>
      </c>
      <c r="I13" s="35">
        <v>3142566.0</v>
      </c>
      <c r="J13" s="35">
        <v>774.0</v>
      </c>
      <c r="K13" s="35">
        <v>8.402</v>
      </c>
      <c r="L13" s="35">
        <v>8.775</v>
      </c>
      <c r="M13" s="35">
        <v>1.504</v>
      </c>
      <c r="N13" s="39"/>
      <c r="O13" s="35">
        <v>1.613933825161E12</v>
      </c>
      <c r="P13" s="35">
        <v>1349.0</v>
      </c>
      <c r="Q13" s="32">
        <f t="shared" si="1"/>
        <v>0.006073636364</v>
      </c>
    </row>
    <row r="14">
      <c r="A14" s="16">
        <v>5.0</v>
      </c>
      <c r="B14" s="33" t="s">
        <v>12</v>
      </c>
      <c r="C14" s="37"/>
      <c r="D14" s="37"/>
      <c r="E14" s="37"/>
      <c r="F14" s="35">
        <v>5.389</v>
      </c>
      <c r="G14" s="35">
        <v>9164.0</v>
      </c>
      <c r="H14" s="35">
        <v>0.29</v>
      </c>
      <c r="I14" s="35">
        <v>3142566.0</v>
      </c>
      <c r="J14" s="35">
        <v>856.0</v>
      </c>
      <c r="K14" s="35">
        <v>14.253</v>
      </c>
      <c r="L14" s="35">
        <v>1.143</v>
      </c>
      <c r="M14" s="43"/>
      <c r="N14" s="39"/>
      <c r="O14" s="35">
        <v>1.613933825161E12</v>
      </c>
      <c r="P14" s="35">
        <v>1349.0</v>
      </c>
      <c r="Q14" s="32">
        <f t="shared" si="1"/>
        <v>0.008042727273</v>
      </c>
    </row>
    <row r="15">
      <c r="A15" s="16">
        <v>6.0</v>
      </c>
      <c r="B15" s="33" t="s">
        <v>12</v>
      </c>
      <c r="C15" s="37"/>
      <c r="D15" s="37"/>
      <c r="E15" s="37"/>
      <c r="F15" s="35">
        <v>5.559</v>
      </c>
      <c r="G15" s="35">
        <v>83.0</v>
      </c>
      <c r="H15" s="35">
        <v>0.0</v>
      </c>
      <c r="I15" s="35">
        <v>3142566.0</v>
      </c>
      <c r="J15" s="35">
        <v>180.0</v>
      </c>
      <c r="K15" s="35">
        <v>0.65</v>
      </c>
      <c r="L15" s="43"/>
      <c r="M15" s="43"/>
      <c r="N15" s="39"/>
      <c r="O15" s="35">
        <v>1.613933825161E12</v>
      </c>
      <c r="P15" s="35">
        <v>1349.0</v>
      </c>
      <c r="Q15" s="32">
        <f t="shared" si="1"/>
        <v>0.003915</v>
      </c>
    </row>
    <row r="16">
      <c r="A16" s="16">
        <v>7.0</v>
      </c>
      <c r="B16" s="33" t="s">
        <v>12</v>
      </c>
      <c r="C16" s="33" t="s">
        <v>13</v>
      </c>
      <c r="D16" s="33">
        <v>1.0</v>
      </c>
      <c r="E16" s="33" t="s">
        <v>14</v>
      </c>
      <c r="F16" s="35">
        <v>5.765</v>
      </c>
      <c r="G16" s="35">
        <v>61958.0</v>
      </c>
      <c r="H16" s="35">
        <v>1.97</v>
      </c>
      <c r="I16" s="35">
        <v>3142566.0</v>
      </c>
      <c r="J16" s="35">
        <v>31254.0</v>
      </c>
      <c r="K16" s="35">
        <v>13.853</v>
      </c>
      <c r="L16" s="43"/>
      <c r="M16" s="43"/>
      <c r="N16" s="39">
        <v>307481.104</v>
      </c>
      <c r="O16" s="35">
        <v>1.613933825161E12</v>
      </c>
      <c r="P16" s="35">
        <v>1349.0</v>
      </c>
      <c r="Q16" s="32">
        <f t="shared" si="1"/>
        <v>0.03204</v>
      </c>
    </row>
    <row r="17">
      <c r="A17" s="16">
        <v>8.0</v>
      </c>
      <c r="B17" s="33" t="s">
        <v>12</v>
      </c>
      <c r="C17" s="33" t="s">
        <v>15</v>
      </c>
      <c r="D17" s="33">
        <v>1.0</v>
      </c>
      <c r="E17" s="33" t="s">
        <v>16</v>
      </c>
      <c r="F17" s="35">
        <v>5.905</v>
      </c>
      <c r="G17" s="35">
        <v>1815958.0</v>
      </c>
      <c r="H17" s="35">
        <v>57.79</v>
      </c>
      <c r="I17" s="35">
        <v>3142566.0</v>
      </c>
      <c r="J17" s="35">
        <v>578633.0</v>
      </c>
      <c r="K17" s="35">
        <v>30.056</v>
      </c>
      <c r="L17" s="43"/>
      <c r="M17" s="43"/>
      <c r="N17" s="39">
        <v>98248.394</v>
      </c>
      <c r="O17" s="35">
        <v>1.613933825161E12</v>
      </c>
      <c r="P17" s="35">
        <v>1349.0</v>
      </c>
      <c r="Q17" s="32">
        <f t="shared" si="1"/>
        <v>0.8293127273</v>
      </c>
    </row>
    <row r="18">
      <c r="A18" s="16">
        <v>9.0</v>
      </c>
      <c r="B18" s="33" t="s">
        <v>12</v>
      </c>
      <c r="C18" s="33" t="s">
        <v>17</v>
      </c>
      <c r="D18" s="33">
        <v>2.0</v>
      </c>
      <c r="E18" s="33" t="s">
        <v>18</v>
      </c>
      <c r="F18" s="35">
        <v>6.45</v>
      </c>
      <c r="G18" s="35">
        <v>169478.0</v>
      </c>
      <c r="H18" s="35">
        <v>5.39</v>
      </c>
      <c r="I18" s="35">
        <v>3142566.0</v>
      </c>
      <c r="J18" s="35">
        <v>88657.0</v>
      </c>
      <c r="K18" s="35">
        <v>14.653</v>
      </c>
      <c r="L18" s="43"/>
      <c r="M18" s="43"/>
      <c r="N18" s="39">
        <v>378229.783</v>
      </c>
      <c r="O18" s="35">
        <v>1.613933825161E12</v>
      </c>
      <c r="P18" s="35">
        <v>1349.0</v>
      </c>
      <c r="Q18" s="32">
        <f t="shared" si="1"/>
        <v>0.08091272727</v>
      </c>
    </row>
    <row r="19">
      <c r="A19" s="16">
        <v>10.0</v>
      </c>
      <c r="B19" s="33" t="s">
        <v>12</v>
      </c>
      <c r="C19" s="37"/>
      <c r="D19" s="37"/>
      <c r="E19" s="37"/>
      <c r="F19" s="35">
        <v>6.59</v>
      </c>
      <c r="G19" s="35">
        <v>16453.0</v>
      </c>
      <c r="H19" s="35">
        <v>0.52</v>
      </c>
      <c r="I19" s="35">
        <v>3142566.0</v>
      </c>
      <c r="J19" s="35">
        <v>4220.0</v>
      </c>
      <c r="K19" s="35">
        <v>11.002</v>
      </c>
      <c r="L19" s="43"/>
      <c r="M19" s="43"/>
      <c r="N19" s="39">
        <v>244769.337</v>
      </c>
      <c r="O19" s="35">
        <v>1.613933825161E12</v>
      </c>
      <c r="P19" s="35">
        <v>1349.0</v>
      </c>
      <c r="Q19" s="32">
        <f t="shared" si="1"/>
        <v>0.01135590909</v>
      </c>
    </row>
    <row r="20">
      <c r="A20" s="16">
        <v>11.0</v>
      </c>
      <c r="B20" s="33" t="s">
        <v>12</v>
      </c>
      <c r="C20" s="37"/>
      <c r="D20" s="37"/>
      <c r="E20" s="37"/>
      <c r="F20" s="35">
        <v>6.729</v>
      </c>
      <c r="G20" s="35">
        <v>418.0</v>
      </c>
      <c r="H20" s="35">
        <v>0.01</v>
      </c>
      <c r="I20" s="35">
        <v>3142566.0</v>
      </c>
      <c r="J20" s="35">
        <v>363.0</v>
      </c>
      <c r="K20" s="35">
        <v>3.851</v>
      </c>
      <c r="L20" s="43"/>
      <c r="M20" s="43"/>
      <c r="N20" s="39"/>
      <c r="O20" s="35">
        <v>1.613933825161E12</v>
      </c>
      <c r="P20" s="35">
        <v>1349.0</v>
      </c>
      <c r="Q20" s="32">
        <f t="shared" si="1"/>
        <v>0.004067272727</v>
      </c>
    </row>
    <row r="21">
      <c r="A21" s="16">
        <v>12.0</v>
      </c>
      <c r="B21" s="33" t="s">
        <v>12</v>
      </c>
      <c r="C21" s="37"/>
      <c r="D21" s="37"/>
      <c r="E21" s="37"/>
      <c r="F21" s="35">
        <v>7.023</v>
      </c>
      <c r="G21" s="35">
        <v>3046.0</v>
      </c>
      <c r="H21" s="35">
        <v>0.1</v>
      </c>
      <c r="I21" s="35">
        <v>3142566.0</v>
      </c>
      <c r="J21" s="35">
        <v>849.0</v>
      </c>
      <c r="K21" s="35">
        <v>6.801</v>
      </c>
      <c r="L21" s="43"/>
      <c r="M21" s="43"/>
      <c r="N21" s="39">
        <v>342927.845</v>
      </c>
      <c r="O21" s="35">
        <v>1.613933825161E12</v>
      </c>
      <c r="P21" s="35">
        <v>1349.0</v>
      </c>
      <c r="Q21" s="32">
        <f t="shared" si="1"/>
        <v>0.005261818182</v>
      </c>
    </row>
    <row r="22">
      <c r="A22" s="16">
        <v>13.0</v>
      </c>
      <c r="B22" s="33" t="s">
        <v>12</v>
      </c>
      <c r="C22" s="37"/>
      <c r="D22" s="37"/>
      <c r="E22" s="37"/>
      <c r="F22" s="35">
        <v>7.108</v>
      </c>
      <c r="G22" s="35">
        <v>35.0</v>
      </c>
      <c r="H22" s="35">
        <v>0.0</v>
      </c>
      <c r="I22" s="35">
        <v>3142566.0</v>
      </c>
      <c r="J22" s="35">
        <v>92.0</v>
      </c>
      <c r="K22" s="35">
        <v>0.8</v>
      </c>
      <c r="L22" s="43"/>
      <c r="M22" s="43"/>
      <c r="N22" s="39"/>
      <c r="O22" s="35">
        <v>1.613933825161E12</v>
      </c>
      <c r="P22" s="35">
        <v>1349.0</v>
      </c>
      <c r="Q22" s="32">
        <f t="shared" si="1"/>
        <v>0.003893181818</v>
      </c>
    </row>
    <row r="23">
      <c r="A23" s="16">
        <v>14.0</v>
      </c>
      <c r="B23" s="33" t="s">
        <v>12</v>
      </c>
      <c r="C23" s="37"/>
      <c r="D23" s="37"/>
      <c r="E23" s="37"/>
      <c r="F23" s="35">
        <v>7.226</v>
      </c>
      <c r="G23" s="35">
        <v>1520.0</v>
      </c>
      <c r="H23" s="35">
        <v>0.05</v>
      </c>
      <c r="I23" s="35">
        <v>3142566.0</v>
      </c>
      <c r="J23" s="35">
        <v>831.0</v>
      </c>
      <c r="K23" s="35">
        <v>4.501</v>
      </c>
      <c r="L23" s="43"/>
      <c r="M23" s="35">
        <v>1.236</v>
      </c>
      <c r="N23" s="39">
        <v>366300.589</v>
      </c>
      <c r="O23" s="35">
        <v>1.613933825161E12</v>
      </c>
      <c r="P23" s="35">
        <v>1349.0</v>
      </c>
      <c r="Q23" s="32">
        <f t="shared" si="1"/>
        <v>0.004568181818</v>
      </c>
    </row>
    <row r="24">
      <c r="A24" s="16">
        <v>15.0</v>
      </c>
      <c r="B24" s="33" t="s">
        <v>12</v>
      </c>
      <c r="C24" s="37"/>
      <c r="D24" s="37"/>
      <c r="E24" s="37"/>
      <c r="F24" s="35">
        <v>7.334</v>
      </c>
      <c r="G24" s="35">
        <v>3511.0</v>
      </c>
      <c r="H24" s="35">
        <v>0.11</v>
      </c>
      <c r="I24" s="35">
        <v>3142566.0</v>
      </c>
      <c r="J24" s="35">
        <v>544.0</v>
      </c>
      <c r="K24" s="35">
        <v>11.202</v>
      </c>
      <c r="L24" s="35">
        <v>2.318</v>
      </c>
      <c r="M24" s="35">
        <v>1.474</v>
      </c>
      <c r="N24" s="39"/>
      <c r="O24" s="35">
        <v>1.613933825161E12</v>
      </c>
      <c r="P24" s="35">
        <v>1349.0</v>
      </c>
      <c r="Q24" s="32">
        <f t="shared" si="1"/>
        <v>0.005473181818</v>
      </c>
    </row>
    <row r="25">
      <c r="A25" s="16">
        <v>1.0</v>
      </c>
      <c r="B25" s="33" t="s">
        <v>21</v>
      </c>
      <c r="C25" s="33" t="s">
        <v>80</v>
      </c>
      <c r="D25" s="33"/>
      <c r="E25" s="33"/>
      <c r="F25" s="35">
        <v>4.354</v>
      </c>
      <c r="G25" s="35">
        <v>3125.0</v>
      </c>
      <c r="H25" s="35">
        <v>0.1</v>
      </c>
      <c r="I25" s="35">
        <v>2991607.0</v>
      </c>
      <c r="J25" s="35">
        <v>985.0</v>
      </c>
      <c r="K25" s="35">
        <v>8.102</v>
      </c>
      <c r="L25" s="43"/>
      <c r="M25" s="43"/>
      <c r="N25" s="35">
        <v>72709.206</v>
      </c>
      <c r="O25" s="35">
        <v>1.613933825161E12</v>
      </c>
      <c r="P25" s="35">
        <v>1350.0</v>
      </c>
      <c r="Q25" s="32">
        <f t="shared" si="1"/>
        <v>0.005297727273</v>
      </c>
    </row>
    <row r="26">
      <c r="A26" s="16">
        <v>2.0</v>
      </c>
      <c r="B26" s="33" t="s">
        <v>21</v>
      </c>
      <c r="C26" s="33" t="s">
        <v>10</v>
      </c>
      <c r="D26" s="33"/>
      <c r="E26" s="33"/>
      <c r="F26" s="35">
        <v>4.51</v>
      </c>
      <c r="G26" s="35">
        <v>5702.0</v>
      </c>
      <c r="H26" s="35">
        <v>0.19</v>
      </c>
      <c r="I26" s="35">
        <v>2991607.0</v>
      </c>
      <c r="J26" s="35">
        <v>819.0</v>
      </c>
      <c r="K26" s="35">
        <v>9.652</v>
      </c>
      <c r="L26" s="43"/>
      <c r="M26" s="43"/>
      <c r="N26" s="44"/>
      <c r="O26" s="35">
        <v>1.613933825161E12</v>
      </c>
      <c r="P26" s="35">
        <v>1350.0</v>
      </c>
      <c r="Q26" s="32">
        <f t="shared" si="1"/>
        <v>0.006469090909</v>
      </c>
    </row>
    <row r="27">
      <c r="A27" s="16">
        <v>3.0</v>
      </c>
      <c r="B27" s="33" t="s">
        <v>21</v>
      </c>
      <c r="C27" s="33" t="s">
        <v>82</v>
      </c>
      <c r="D27" s="33"/>
      <c r="E27" s="33"/>
      <c r="F27" s="35">
        <v>4.774</v>
      </c>
      <c r="G27" s="35">
        <v>592774.0</v>
      </c>
      <c r="H27" s="35">
        <v>19.81</v>
      </c>
      <c r="I27" s="35">
        <v>2991607.0</v>
      </c>
      <c r="J27" s="35">
        <v>175170.0</v>
      </c>
      <c r="K27" s="35">
        <v>25.455</v>
      </c>
      <c r="L27" s="43"/>
      <c r="M27" s="35">
        <v>1.281</v>
      </c>
      <c r="N27" s="35">
        <v>61492.053</v>
      </c>
      <c r="O27" s="35">
        <v>1.613933825161E12</v>
      </c>
      <c r="P27" s="35">
        <v>1350.0</v>
      </c>
      <c r="Q27" s="32">
        <f t="shared" si="1"/>
        <v>0.27332</v>
      </c>
    </row>
    <row r="28">
      <c r="A28" s="16">
        <v>4.0</v>
      </c>
      <c r="B28" s="33" t="s">
        <v>21</v>
      </c>
      <c r="C28" s="37"/>
      <c r="D28" s="37"/>
      <c r="E28" s="37"/>
      <c r="F28" s="35">
        <v>5.048</v>
      </c>
      <c r="G28" s="35">
        <v>8416.0</v>
      </c>
      <c r="H28" s="35">
        <v>0.28</v>
      </c>
      <c r="I28" s="35">
        <v>2991607.0</v>
      </c>
      <c r="J28" s="35">
        <v>1502.0</v>
      </c>
      <c r="K28" s="35">
        <v>10.102</v>
      </c>
      <c r="L28" s="43"/>
      <c r="M28" s="43"/>
      <c r="N28" s="44"/>
      <c r="O28" s="35">
        <v>1.613933825161E12</v>
      </c>
      <c r="P28" s="35">
        <v>1350.0</v>
      </c>
      <c r="Q28" s="32">
        <f t="shared" si="1"/>
        <v>0.007702727273</v>
      </c>
    </row>
    <row r="29">
      <c r="A29" s="16">
        <v>5.0</v>
      </c>
      <c r="B29" s="33" t="s">
        <v>21</v>
      </c>
      <c r="C29" s="37"/>
      <c r="D29" s="37"/>
      <c r="E29" s="37"/>
      <c r="F29" s="35">
        <v>5.291</v>
      </c>
      <c r="G29" s="35">
        <v>3019.0</v>
      </c>
      <c r="H29" s="35">
        <v>0.1</v>
      </c>
      <c r="I29" s="35">
        <v>2991607.0</v>
      </c>
      <c r="J29" s="35">
        <v>500.0</v>
      </c>
      <c r="K29" s="35">
        <v>9.252</v>
      </c>
      <c r="L29" s="43"/>
      <c r="M29" s="43"/>
      <c r="N29" s="44"/>
      <c r="O29" s="35">
        <v>1.613933825161E12</v>
      </c>
      <c r="P29" s="35">
        <v>1350.0</v>
      </c>
      <c r="Q29" s="32">
        <f t="shared" si="1"/>
        <v>0.005249545455</v>
      </c>
    </row>
    <row r="30">
      <c r="A30" s="16">
        <v>6.0</v>
      </c>
      <c r="B30" s="33" t="s">
        <v>21</v>
      </c>
      <c r="C30" s="37"/>
      <c r="D30" s="37"/>
      <c r="E30" s="37"/>
      <c r="F30" s="35">
        <v>5.485</v>
      </c>
      <c r="G30" s="35">
        <v>4929.0</v>
      </c>
      <c r="H30" s="35">
        <v>0.16</v>
      </c>
      <c r="I30" s="35">
        <v>2991607.0</v>
      </c>
      <c r="J30" s="35">
        <v>642.0</v>
      </c>
      <c r="K30" s="35">
        <v>10.302</v>
      </c>
      <c r="L30" s="43"/>
      <c r="M30" s="43"/>
      <c r="N30" s="44"/>
      <c r="O30" s="35">
        <v>1.613933825161E12</v>
      </c>
      <c r="P30" s="35">
        <v>1350.0</v>
      </c>
      <c r="Q30" s="32">
        <f t="shared" si="1"/>
        <v>0.006117727273</v>
      </c>
    </row>
    <row r="31">
      <c r="A31" s="16">
        <v>7.0</v>
      </c>
      <c r="B31" s="33" t="s">
        <v>21</v>
      </c>
      <c r="C31" s="37"/>
      <c r="D31" s="37"/>
      <c r="E31" s="37"/>
      <c r="F31" s="35">
        <v>5.541</v>
      </c>
      <c r="G31" s="35">
        <v>836.0</v>
      </c>
      <c r="H31" s="35">
        <v>0.03</v>
      </c>
      <c r="I31" s="35">
        <v>2991607.0</v>
      </c>
      <c r="J31" s="35">
        <v>557.0</v>
      </c>
      <c r="K31" s="35">
        <v>3.601</v>
      </c>
      <c r="L31" s="43"/>
      <c r="M31" s="43"/>
      <c r="N31" s="35">
        <v>437234.751</v>
      </c>
      <c r="O31" s="35">
        <v>1.613933825161E12</v>
      </c>
      <c r="P31" s="35">
        <v>1350.0</v>
      </c>
      <c r="Q31" s="32">
        <f t="shared" si="1"/>
        <v>0.004257272727</v>
      </c>
    </row>
    <row r="32">
      <c r="A32" s="16">
        <v>8.0</v>
      </c>
      <c r="B32" s="33" t="s">
        <v>21</v>
      </c>
      <c r="C32" s="33" t="s">
        <v>13</v>
      </c>
      <c r="D32" s="33"/>
      <c r="E32" s="33"/>
      <c r="F32" s="35">
        <v>5.765</v>
      </c>
      <c r="G32" s="35">
        <v>54126.0</v>
      </c>
      <c r="H32" s="35">
        <v>1.81</v>
      </c>
      <c r="I32" s="35">
        <v>2991607.0</v>
      </c>
      <c r="J32" s="35">
        <v>27110.0</v>
      </c>
      <c r="K32" s="35">
        <v>13.353</v>
      </c>
      <c r="L32" s="35">
        <v>5.222</v>
      </c>
      <c r="M32" s="44"/>
      <c r="N32" s="35">
        <v>285816.3</v>
      </c>
      <c r="O32" s="35">
        <v>1.613933825161E12</v>
      </c>
      <c r="P32" s="35">
        <v>1350.0</v>
      </c>
      <c r="Q32" s="32">
        <f t="shared" si="1"/>
        <v>0.02848</v>
      </c>
    </row>
    <row r="33">
      <c r="A33" s="16">
        <v>9.0</v>
      </c>
      <c r="B33" s="33" t="s">
        <v>21</v>
      </c>
      <c r="C33" s="33" t="s">
        <v>15</v>
      </c>
      <c r="D33" s="33"/>
      <c r="E33" s="33"/>
      <c r="F33" s="35">
        <v>5.908</v>
      </c>
      <c r="G33" s="35">
        <v>2023376.0</v>
      </c>
      <c r="H33" s="35">
        <v>67.64</v>
      </c>
      <c r="I33" s="35">
        <v>2991607.0</v>
      </c>
      <c r="J33" s="35">
        <v>625216.0</v>
      </c>
      <c r="K33" s="35">
        <v>27.406</v>
      </c>
      <c r="L33" s="35">
        <v>2.163</v>
      </c>
      <c r="M33" s="35">
        <v>0.993</v>
      </c>
      <c r="N33" s="35">
        <v>90190.053</v>
      </c>
      <c r="O33" s="35">
        <v>1.613933825161E12</v>
      </c>
      <c r="P33" s="35">
        <v>1350.0</v>
      </c>
      <c r="Q33" s="32">
        <f t="shared" si="1"/>
        <v>0.9235936364</v>
      </c>
    </row>
    <row r="34">
      <c r="A34" s="16">
        <v>10.0</v>
      </c>
      <c r="B34" s="33" t="s">
        <v>21</v>
      </c>
      <c r="C34" s="37"/>
      <c r="D34" s="37"/>
      <c r="E34" s="37"/>
      <c r="F34" s="35">
        <v>6.398</v>
      </c>
      <c r="G34" s="35">
        <v>15059.0</v>
      </c>
      <c r="H34" s="35">
        <v>0.5</v>
      </c>
      <c r="I34" s="35">
        <v>2991607.0</v>
      </c>
      <c r="J34" s="35">
        <v>4536.0</v>
      </c>
      <c r="K34" s="35">
        <v>9.602</v>
      </c>
      <c r="L34" s="43"/>
      <c r="M34" s="44"/>
      <c r="N34" s="44"/>
      <c r="O34" s="35">
        <v>1.613933825161E12</v>
      </c>
      <c r="P34" s="35">
        <v>1350.0</v>
      </c>
      <c r="Q34" s="32">
        <f t="shared" si="1"/>
        <v>0.01072227273</v>
      </c>
    </row>
    <row r="35">
      <c r="A35" s="16">
        <v>11.0</v>
      </c>
      <c r="B35" s="33" t="s">
        <v>21</v>
      </c>
      <c r="C35" s="33" t="s">
        <v>17</v>
      </c>
      <c r="D35" s="33"/>
      <c r="E35" s="33"/>
      <c r="F35" s="35">
        <v>6.454</v>
      </c>
      <c r="G35" s="35">
        <v>240553.0</v>
      </c>
      <c r="H35" s="35">
        <v>8.04</v>
      </c>
      <c r="I35" s="35">
        <v>2991607.0</v>
      </c>
      <c r="J35" s="35">
        <v>126397.0</v>
      </c>
      <c r="K35" s="35">
        <v>7.802</v>
      </c>
      <c r="L35" s="44"/>
      <c r="M35" s="35">
        <v>1.403</v>
      </c>
      <c r="N35" s="35">
        <v>320857.856</v>
      </c>
      <c r="O35" s="35">
        <v>1.613933825161E12</v>
      </c>
      <c r="P35" s="35">
        <v>1350.0</v>
      </c>
      <c r="Q35" s="32">
        <f t="shared" si="1"/>
        <v>0.1132195455</v>
      </c>
    </row>
    <row r="36">
      <c r="A36" s="16">
        <v>12.0</v>
      </c>
      <c r="B36" s="33" t="s">
        <v>21</v>
      </c>
      <c r="C36" s="37"/>
      <c r="D36" s="37"/>
      <c r="E36" s="37"/>
      <c r="F36" s="35">
        <v>6.591</v>
      </c>
      <c r="G36" s="35">
        <v>25267.0</v>
      </c>
      <c r="H36" s="35">
        <v>0.84</v>
      </c>
      <c r="I36" s="35">
        <v>2991607.0</v>
      </c>
      <c r="J36" s="35">
        <v>6383.0</v>
      </c>
      <c r="K36" s="35">
        <v>11.002</v>
      </c>
      <c r="L36" s="35">
        <v>1.208</v>
      </c>
      <c r="M36" s="44"/>
      <c r="N36" s="35">
        <v>255029.195</v>
      </c>
      <c r="O36" s="35">
        <v>1.613933825161E12</v>
      </c>
      <c r="P36" s="35">
        <v>1350.0</v>
      </c>
      <c r="Q36" s="32">
        <f t="shared" si="1"/>
        <v>0.01536227273</v>
      </c>
    </row>
    <row r="37">
      <c r="A37" s="16">
        <v>13.0</v>
      </c>
      <c r="B37" s="33" t="s">
        <v>21</v>
      </c>
      <c r="C37" s="37"/>
      <c r="D37" s="37"/>
      <c r="E37" s="37"/>
      <c r="F37" s="35">
        <v>6.729</v>
      </c>
      <c r="G37" s="35">
        <v>766.0</v>
      </c>
      <c r="H37" s="35">
        <v>0.03</v>
      </c>
      <c r="I37" s="35">
        <v>2991607.0</v>
      </c>
      <c r="J37" s="35">
        <v>674.0</v>
      </c>
      <c r="K37" s="35">
        <v>4.151</v>
      </c>
      <c r="L37" s="43"/>
      <c r="M37" s="44"/>
      <c r="N37" s="44"/>
      <c r="O37" s="35">
        <v>1.613933825161E12</v>
      </c>
      <c r="P37" s="35">
        <v>1350.0</v>
      </c>
      <c r="Q37" s="32">
        <f t="shared" si="1"/>
        <v>0.004225454545</v>
      </c>
    </row>
    <row r="38">
      <c r="A38" s="16">
        <v>14.0</v>
      </c>
      <c r="B38" s="33" t="s">
        <v>21</v>
      </c>
      <c r="C38" s="37"/>
      <c r="D38" s="37"/>
      <c r="E38" s="37"/>
      <c r="F38" s="35">
        <v>7.073</v>
      </c>
      <c r="G38" s="35">
        <v>5744.0</v>
      </c>
      <c r="H38" s="35">
        <v>0.19</v>
      </c>
      <c r="I38" s="35">
        <v>2991607.0</v>
      </c>
      <c r="J38" s="35">
        <v>1969.0</v>
      </c>
      <c r="K38" s="35">
        <v>7.452</v>
      </c>
      <c r="L38" s="43"/>
      <c r="M38" s="44"/>
      <c r="N38" s="35">
        <v>3494.368</v>
      </c>
      <c r="O38" s="35">
        <v>1.613933825161E12</v>
      </c>
      <c r="P38" s="35">
        <v>1350.0</v>
      </c>
      <c r="Q38" s="32">
        <f t="shared" si="1"/>
        <v>0.006488181818</v>
      </c>
    </row>
    <row r="39">
      <c r="A39" s="16">
        <v>15.0</v>
      </c>
      <c r="B39" s="33" t="s">
        <v>21</v>
      </c>
      <c r="C39" s="37"/>
      <c r="D39" s="37"/>
      <c r="E39" s="37"/>
      <c r="F39" s="35">
        <v>7.108</v>
      </c>
      <c r="G39" s="35">
        <v>116.0</v>
      </c>
      <c r="H39" s="35">
        <v>0.0</v>
      </c>
      <c r="I39" s="35">
        <v>2991607.0</v>
      </c>
      <c r="J39" s="35">
        <v>252.0</v>
      </c>
      <c r="K39" s="35">
        <v>1.05</v>
      </c>
      <c r="L39" s="43"/>
      <c r="M39" s="44"/>
      <c r="N39" s="44"/>
      <c r="O39" s="35">
        <v>1.613933825161E12</v>
      </c>
      <c r="P39" s="35">
        <v>1350.0</v>
      </c>
      <c r="Q39" s="32">
        <f t="shared" si="1"/>
        <v>0.00393</v>
      </c>
    </row>
    <row r="40">
      <c r="A40" s="16">
        <v>16.0</v>
      </c>
      <c r="B40" s="33" t="s">
        <v>21</v>
      </c>
      <c r="C40" s="37"/>
      <c r="D40" s="37"/>
      <c r="E40" s="37"/>
      <c r="F40" s="35">
        <v>7.229</v>
      </c>
      <c r="G40" s="35">
        <v>4416.0</v>
      </c>
      <c r="H40" s="35">
        <v>0.15</v>
      </c>
      <c r="I40" s="35">
        <v>2991607.0</v>
      </c>
      <c r="J40" s="35">
        <v>1115.0</v>
      </c>
      <c r="K40" s="35">
        <v>8.052</v>
      </c>
      <c r="L40" s="43"/>
      <c r="M40" s="44"/>
      <c r="N40" s="44"/>
      <c r="O40" s="35">
        <v>1.613933825161E12</v>
      </c>
      <c r="P40" s="35">
        <v>1350.0</v>
      </c>
      <c r="Q40" s="32">
        <f t="shared" si="1"/>
        <v>0.005884545455</v>
      </c>
    </row>
    <row r="41">
      <c r="A41" s="16">
        <v>17.0</v>
      </c>
      <c r="B41" s="33" t="s">
        <v>21</v>
      </c>
      <c r="C41" s="37"/>
      <c r="D41" s="37"/>
      <c r="E41" s="37"/>
      <c r="F41" s="35">
        <v>7.26</v>
      </c>
      <c r="G41" s="35">
        <v>56.0</v>
      </c>
      <c r="H41" s="35">
        <v>0.0</v>
      </c>
      <c r="I41" s="35">
        <v>2991607.0</v>
      </c>
      <c r="J41" s="35">
        <v>147.0</v>
      </c>
      <c r="K41" s="35">
        <v>1.0</v>
      </c>
      <c r="L41" s="43"/>
      <c r="M41" s="44"/>
      <c r="N41" s="44"/>
      <c r="O41" s="35">
        <v>1.613933825161E12</v>
      </c>
      <c r="P41" s="35">
        <v>1350.0</v>
      </c>
      <c r="Q41" s="32">
        <f t="shared" si="1"/>
        <v>0.003902727273</v>
      </c>
    </row>
    <row r="42">
      <c r="A42" s="16">
        <v>18.0</v>
      </c>
      <c r="B42" s="33" t="s">
        <v>21</v>
      </c>
      <c r="C42" s="37"/>
      <c r="D42" s="37"/>
      <c r="E42" s="37"/>
      <c r="F42" s="35">
        <v>7.331</v>
      </c>
      <c r="G42" s="35">
        <v>3329.0</v>
      </c>
      <c r="H42" s="35">
        <v>0.11</v>
      </c>
      <c r="I42" s="35">
        <v>2991607.0</v>
      </c>
      <c r="J42" s="35">
        <v>542.0</v>
      </c>
      <c r="K42" s="35">
        <v>11.602</v>
      </c>
      <c r="L42" s="43"/>
      <c r="M42" s="35">
        <v>1.498</v>
      </c>
      <c r="N42" s="44"/>
      <c r="O42" s="35">
        <v>1.613933825161E12</v>
      </c>
      <c r="P42" s="35">
        <v>1350.0</v>
      </c>
      <c r="Q42" s="32">
        <f t="shared" si="1"/>
        <v>0.005390454545</v>
      </c>
    </row>
    <row r="43">
      <c r="A43" s="16">
        <v>1.0</v>
      </c>
      <c r="B43" s="33" t="s">
        <v>23</v>
      </c>
      <c r="C43" s="33" t="s">
        <v>80</v>
      </c>
      <c r="D43" s="33"/>
      <c r="E43" s="33"/>
      <c r="F43" s="35">
        <v>4.353</v>
      </c>
      <c r="G43" s="35">
        <v>2920.0</v>
      </c>
      <c r="H43" s="35">
        <v>0.09</v>
      </c>
      <c r="I43" s="35">
        <v>3086413.0</v>
      </c>
      <c r="J43" s="35">
        <v>892.0</v>
      </c>
      <c r="K43" s="35">
        <v>8.502</v>
      </c>
      <c r="L43" s="45"/>
      <c r="M43" s="46"/>
      <c r="N43" s="35">
        <v>66979.406</v>
      </c>
      <c r="O43" s="35">
        <v>1.613933825161E12</v>
      </c>
      <c r="P43" s="35">
        <v>1351.0</v>
      </c>
      <c r="Q43" s="32">
        <f t="shared" si="1"/>
        <v>0.005204545455</v>
      </c>
    </row>
    <row r="44">
      <c r="A44" s="16">
        <v>2.0</v>
      </c>
      <c r="B44" s="33" t="s">
        <v>23</v>
      </c>
      <c r="C44" s="37"/>
      <c r="D44" s="37"/>
      <c r="E44" s="37"/>
      <c r="F44" s="35">
        <v>4.509</v>
      </c>
      <c r="G44" s="35">
        <v>6125.0</v>
      </c>
      <c r="H44" s="35">
        <v>0.2</v>
      </c>
      <c r="I44" s="35">
        <v>3086413.0</v>
      </c>
      <c r="J44" s="35">
        <v>817.0</v>
      </c>
      <c r="K44" s="35">
        <v>9.852</v>
      </c>
      <c r="L44" s="45"/>
      <c r="M44" s="46"/>
      <c r="N44" s="44"/>
      <c r="O44" s="35">
        <v>1.613933825161E12</v>
      </c>
      <c r="P44" s="35">
        <v>1351.0</v>
      </c>
      <c r="Q44" s="32">
        <f t="shared" si="1"/>
        <v>0.006661363636</v>
      </c>
    </row>
    <row r="45">
      <c r="A45" s="16">
        <v>3.0</v>
      </c>
      <c r="B45" s="33" t="s">
        <v>23</v>
      </c>
      <c r="C45" s="33" t="s">
        <v>10</v>
      </c>
      <c r="D45" s="33"/>
      <c r="E45" s="33"/>
      <c r="F45" s="35">
        <v>4.778</v>
      </c>
      <c r="G45" s="35">
        <v>478458.0</v>
      </c>
      <c r="H45" s="35">
        <v>15.5</v>
      </c>
      <c r="I45" s="35">
        <v>3086413.0</v>
      </c>
      <c r="J45" s="35">
        <v>146783.0</v>
      </c>
      <c r="K45" s="35">
        <v>19.254</v>
      </c>
      <c r="L45" s="45"/>
      <c r="M45" s="35">
        <v>1.291</v>
      </c>
      <c r="N45" s="35">
        <v>63950.297</v>
      </c>
      <c r="O45" s="35">
        <v>1.613933825161E12</v>
      </c>
      <c r="P45" s="35">
        <v>1351.0</v>
      </c>
      <c r="Q45" s="32">
        <f t="shared" si="1"/>
        <v>0.2213581818</v>
      </c>
    </row>
    <row r="46">
      <c r="A46" s="16">
        <v>4.0</v>
      </c>
      <c r="B46" s="33" t="s">
        <v>23</v>
      </c>
      <c r="C46" s="33" t="s">
        <v>82</v>
      </c>
      <c r="D46" s="33"/>
      <c r="E46" s="33"/>
      <c r="F46" s="35">
        <v>4.956</v>
      </c>
      <c r="G46" s="35">
        <v>22968.0</v>
      </c>
      <c r="H46" s="35">
        <v>0.74</v>
      </c>
      <c r="I46" s="35">
        <v>3086413.0</v>
      </c>
      <c r="J46" s="35">
        <v>5270.0</v>
      </c>
      <c r="K46" s="35">
        <v>9.252</v>
      </c>
      <c r="L46" s="45"/>
      <c r="M46" s="46"/>
      <c r="N46" s="44"/>
      <c r="O46" s="35">
        <v>1.613933825161E12</v>
      </c>
      <c r="P46" s="35">
        <v>1351.0</v>
      </c>
      <c r="Q46" s="32">
        <f t="shared" si="1"/>
        <v>0.01431727273</v>
      </c>
    </row>
    <row r="47">
      <c r="A47" s="16">
        <v>5.0</v>
      </c>
      <c r="B47" s="33" t="s">
        <v>23</v>
      </c>
      <c r="C47" s="37"/>
      <c r="D47" s="37"/>
      <c r="E47" s="37"/>
      <c r="F47" s="35">
        <v>5.082</v>
      </c>
      <c r="G47" s="35">
        <v>3047.0</v>
      </c>
      <c r="H47" s="35">
        <v>0.1</v>
      </c>
      <c r="I47" s="35">
        <v>3086413.0</v>
      </c>
      <c r="J47" s="35">
        <v>1105.0</v>
      </c>
      <c r="K47" s="35">
        <v>6.151</v>
      </c>
      <c r="L47" s="45"/>
      <c r="M47" s="46"/>
      <c r="N47" s="44"/>
      <c r="O47" s="35">
        <v>1.613933825161E12</v>
      </c>
      <c r="P47" s="35">
        <v>1351.0</v>
      </c>
      <c r="Q47" s="32">
        <f t="shared" si="1"/>
        <v>0.005262272727</v>
      </c>
    </row>
    <row r="48">
      <c r="A48" s="16">
        <v>6.0</v>
      </c>
      <c r="B48" s="33" t="s">
        <v>23</v>
      </c>
      <c r="C48" s="37"/>
      <c r="D48" s="37"/>
      <c r="E48" s="37"/>
      <c r="F48" s="35">
        <v>5.484</v>
      </c>
      <c r="G48" s="35">
        <v>9673.0</v>
      </c>
      <c r="H48" s="35">
        <v>0.31</v>
      </c>
      <c r="I48" s="35">
        <v>3086413.0</v>
      </c>
      <c r="J48" s="35">
        <v>783.0</v>
      </c>
      <c r="K48" s="35">
        <v>19.854</v>
      </c>
      <c r="L48" s="45"/>
      <c r="M48" s="46"/>
      <c r="N48" s="35">
        <v>662.349</v>
      </c>
      <c r="O48" s="35">
        <v>1.613933825161E12</v>
      </c>
      <c r="P48" s="35">
        <v>1351.0</v>
      </c>
      <c r="Q48" s="32">
        <f t="shared" si="1"/>
        <v>0.008274090909</v>
      </c>
    </row>
    <row r="49">
      <c r="A49" s="16">
        <v>7.0</v>
      </c>
      <c r="B49" s="33" t="s">
        <v>23</v>
      </c>
      <c r="C49" s="37"/>
      <c r="D49" s="37"/>
      <c r="E49" s="37"/>
      <c r="F49" s="35">
        <v>5.541</v>
      </c>
      <c r="G49" s="35">
        <v>1228.0</v>
      </c>
      <c r="H49" s="35">
        <v>0.04</v>
      </c>
      <c r="I49" s="35">
        <v>3086413.0</v>
      </c>
      <c r="J49" s="35">
        <v>833.0</v>
      </c>
      <c r="K49" s="35">
        <v>3.951</v>
      </c>
      <c r="L49" s="38">
        <v>0.36</v>
      </c>
      <c r="M49" s="46"/>
      <c r="N49" s="35">
        <v>390262.814</v>
      </c>
      <c r="O49" s="35">
        <v>1.613933825161E12</v>
      </c>
      <c r="P49" s="35">
        <v>1351.0</v>
      </c>
      <c r="Q49" s="32">
        <f t="shared" si="1"/>
        <v>0.004435454545</v>
      </c>
    </row>
    <row r="50">
      <c r="A50" s="16">
        <v>8.0</v>
      </c>
      <c r="B50" s="33" t="s">
        <v>23</v>
      </c>
      <c r="C50" s="33" t="s">
        <v>13</v>
      </c>
      <c r="D50" s="33"/>
      <c r="E50" s="33"/>
      <c r="F50" s="44">
        <v>5.764</v>
      </c>
      <c r="G50" s="45">
        <v>50502.0</v>
      </c>
      <c r="H50" s="46">
        <v>1.64</v>
      </c>
      <c r="I50" s="43">
        <v>3086413.0</v>
      </c>
      <c r="J50" s="43">
        <v>24929.0</v>
      </c>
      <c r="K50" s="43">
        <v>12.953</v>
      </c>
      <c r="L50" s="35">
        <v>5.087</v>
      </c>
      <c r="M50" s="43"/>
      <c r="N50" s="35">
        <v>273653.212</v>
      </c>
      <c r="O50" s="35">
        <v>1.613933825161E12</v>
      </c>
      <c r="P50" s="35">
        <v>1351.0</v>
      </c>
      <c r="Q50" s="32">
        <f t="shared" si="1"/>
        <v>0.02683272727</v>
      </c>
    </row>
    <row r="51">
      <c r="A51" s="16">
        <v>9.0</v>
      </c>
      <c r="B51" s="33" t="s">
        <v>23</v>
      </c>
      <c r="C51" s="33" t="s">
        <v>15</v>
      </c>
      <c r="D51" s="33"/>
      <c r="E51" s="33"/>
      <c r="F51" s="44">
        <v>5.908</v>
      </c>
      <c r="G51" s="45">
        <v>2164884.0</v>
      </c>
      <c r="H51" s="46">
        <v>70.14</v>
      </c>
      <c r="I51" s="43">
        <v>3086413.0</v>
      </c>
      <c r="J51" s="43">
        <v>648364.0</v>
      </c>
      <c r="K51" s="43">
        <v>27.406</v>
      </c>
      <c r="L51" s="35">
        <v>2.112</v>
      </c>
      <c r="M51" s="35">
        <v>0.994</v>
      </c>
      <c r="N51" s="35">
        <v>85106.06</v>
      </c>
      <c r="O51" s="35">
        <v>1.613933825161E12</v>
      </c>
      <c r="P51" s="35">
        <v>1351.0</v>
      </c>
      <c r="Q51" s="32">
        <f t="shared" si="1"/>
        <v>0.9879154545</v>
      </c>
    </row>
    <row r="52">
      <c r="A52" s="16">
        <v>10.0</v>
      </c>
      <c r="B52" s="33" t="s">
        <v>23</v>
      </c>
      <c r="C52" s="37"/>
      <c r="D52" s="37"/>
      <c r="E52" s="37"/>
      <c r="F52" s="44">
        <v>6.399</v>
      </c>
      <c r="G52" s="45">
        <v>19632.0</v>
      </c>
      <c r="H52" s="46">
        <v>0.64</v>
      </c>
      <c r="I52" s="43">
        <v>3086413.0</v>
      </c>
      <c r="J52" s="43">
        <v>5658.0</v>
      </c>
      <c r="K52" s="43">
        <v>9.702</v>
      </c>
      <c r="L52" s="44"/>
      <c r="M52" s="44"/>
      <c r="N52" s="44"/>
      <c r="O52" s="35">
        <v>1.613933825161E12</v>
      </c>
      <c r="P52" s="35">
        <v>1351.0</v>
      </c>
      <c r="Q52" s="32">
        <f t="shared" si="1"/>
        <v>0.01280090909</v>
      </c>
    </row>
    <row r="53">
      <c r="A53" s="16">
        <v>11.0</v>
      </c>
      <c r="B53" s="33" t="s">
        <v>23</v>
      </c>
      <c r="C53" s="33" t="s">
        <v>17</v>
      </c>
      <c r="D53" s="33"/>
      <c r="E53" s="33"/>
      <c r="F53" s="44">
        <v>6.456</v>
      </c>
      <c r="G53" s="45">
        <v>283940.0</v>
      </c>
      <c r="H53" s="46">
        <v>9.2</v>
      </c>
      <c r="I53" s="43">
        <v>3086413.0</v>
      </c>
      <c r="J53" s="43">
        <v>143547.0</v>
      </c>
      <c r="K53" s="43">
        <v>7.852</v>
      </c>
      <c r="L53" s="44"/>
      <c r="M53" s="35">
        <v>1.355</v>
      </c>
      <c r="N53" s="35">
        <v>294132.466</v>
      </c>
      <c r="O53" s="35">
        <v>1.613933825161E12</v>
      </c>
      <c r="P53" s="35">
        <v>1351.0</v>
      </c>
      <c r="Q53" s="32">
        <f t="shared" si="1"/>
        <v>0.1329409091</v>
      </c>
    </row>
    <row r="54">
      <c r="A54" s="16">
        <v>12.0</v>
      </c>
      <c r="B54" s="33" t="s">
        <v>23</v>
      </c>
      <c r="C54" s="37"/>
      <c r="D54" s="37"/>
      <c r="E54" s="37"/>
      <c r="F54" s="44">
        <v>6.59</v>
      </c>
      <c r="G54" s="45">
        <v>25816.0</v>
      </c>
      <c r="H54" s="46">
        <v>0.84</v>
      </c>
      <c r="I54" s="43">
        <v>3086413.0</v>
      </c>
      <c r="J54" s="43">
        <v>5984.0</v>
      </c>
      <c r="K54" s="43">
        <v>9.302</v>
      </c>
      <c r="L54" s="44"/>
      <c r="M54" s="44"/>
      <c r="N54" s="35">
        <v>52331.406</v>
      </c>
      <c r="O54" s="35">
        <v>1.613933825161E12</v>
      </c>
      <c r="P54" s="35">
        <v>1351.0</v>
      </c>
      <c r="Q54" s="32">
        <f t="shared" si="1"/>
        <v>0.01561181818</v>
      </c>
    </row>
    <row r="55">
      <c r="A55" s="16">
        <v>13.0</v>
      </c>
      <c r="B55" s="33" t="s">
        <v>23</v>
      </c>
      <c r="C55" s="37"/>
      <c r="D55" s="37"/>
      <c r="E55" s="37"/>
      <c r="F55" s="44">
        <v>6.715</v>
      </c>
      <c r="G55" s="45">
        <v>2794.0</v>
      </c>
      <c r="H55" s="46">
        <v>0.09</v>
      </c>
      <c r="I55" s="43">
        <v>3086413.0</v>
      </c>
      <c r="J55" s="43">
        <v>1357.0</v>
      </c>
      <c r="K55" s="43">
        <v>5.801</v>
      </c>
      <c r="L55" s="44"/>
      <c r="M55" s="44"/>
      <c r="N55" s="44"/>
      <c r="O55" s="35">
        <v>1.613933825161E12</v>
      </c>
      <c r="P55" s="35">
        <v>1351.0</v>
      </c>
      <c r="Q55" s="32">
        <f t="shared" si="1"/>
        <v>0.005147272727</v>
      </c>
    </row>
    <row r="56">
      <c r="A56" s="16">
        <v>14.0</v>
      </c>
      <c r="B56" s="33" t="s">
        <v>23</v>
      </c>
      <c r="C56" s="37"/>
      <c r="D56" s="37"/>
      <c r="E56" s="37"/>
      <c r="F56" s="44">
        <v>7.072</v>
      </c>
      <c r="G56" s="45">
        <v>6458.0</v>
      </c>
      <c r="H56" s="46">
        <v>0.21</v>
      </c>
      <c r="I56" s="43">
        <v>3086413.0</v>
      </c>
      <c r="J56" s="43">
        <v>2463.0</v>
      </c>
      <c r="K56" s="43">
        <v>8.402</v>
      </c>
      <c r="L56" s="44"/>
      <c r="M56" s="35">
        <v>0.819</v>
      </c>
      <c r="N56" s="35">
        <v>363657.808</v>
      </c>
      <c r="O56" s="35">
        <v>1.613933825161E12</v>
      </c>
      <c r="P56" s="35">
        <v>1351.0</v>
      </c>
      <c r="Q56" s="32">
        <f t="shared" si="1"/>
        <v>0.006812727273</v>
      </c>
    </row>
    <row r="57">
      <c r="A57" s="16">
        <v>15.0</v>
      </c>
      <c r="B57" s="33" t="s">
        <v>23</v>
      </c>
      <c r="C57" s="37"/>
      <c r="D57" s="37"/>
      <c r="E57" s="37"/>
      <c r="F57" s="44">
        <v>7.174</v>
      </c>
      <c r="G57" s="45">
        <v>4053.0</v>
      </c>
      <c r="H57" s="46">
        <v>0.13</v>
      </c>
      <c r="I57" s="43">
        <v>3086413.0</v>
      </c>
      <c r="J57" s="43">
        <v>1065.0</v>
      </c>
      <c r="K57" s="43">
        <v>8.102</v>
      </c>
      <c r="L57" s="35">
        <v>1.774</v>
      </c>
      <c r="M57" s="44"/>
      <c r="N57" s="35">
        <v>232446.915</v>
      </c>
      <c r="O57" s="35">
        <v>1.613933825161E12</v>
      </c>
      <c r="P57" s="35">
        <v>1351.0</v>
      </c>
      <c r="Q57" s="32">
        <f t="shared" si="1"/>
        <v>0.005719545455</v>
      </c>
    </row>
    <row r="58">
      <c r="A58" s="16">
        <v>16.0</v>
      </c>
      <c r="B58" s="33" t="s">
        <v>23</v>
      </c>
      <c r="C58" s="37"/>
      <c r="D58" s="37"/>
      <c r="E58" s="37"/>
      <c r="F58" s="44">
        <v>7.26</v>
      </c>
      <c r="G58" s="45">
        <v>18.0</v>
      </c>
      <c r="H58" s="46">
        <v>0.0</v>
      </c>
      <c r="I58" s="43">
        <v>3086413.0</v>
      </c>
      <c r="J58" s="43">
        <v>74.0</v>
      </c>
      <c r="K58" s="43">
        <v>0.55</v>
      </c>
      <c r="L58" s="44"/>
      <c r="M58" s="43"/>
      <c r="N58" s="44"/>
      <c r="O58" s="35">
        <v>1.613933825161E12</v>
      </c>
      <c r="P58" s="35">
        <v>1351.0</v>
      </c>
      <c r="Q58" s="32">
        <f t="shared" si="1"/>
        <v>0.003885454545</v>
      </c>
    </row>
    <row r="59">
      <c r="A59" s="16">
        <v>17.0</v>
      </c>
      <c r="B59" s="33" t="s">
        <v>23</v>
      </c>
      <c r="C59" s="37"/>
      <c r="D59" s="37"/>
      <c r="E59" s="37"/>
      <c r="F59" s="44">
        <v>7.421</v>
      </c>
      <c r="G59" s="45">
        <v>3897.0</v>
      </c>
      <c r="H59" s="46">
        <v>0.13</v>
      </c>
      <c r="I59" s="43">
        <v>3086413.0</v>
      </c>
      <c r="J59" s="43">
        <v>599.0</v>
      </c>
      <c r="K59" s="43">
        <v>11.552</v>
      </c>
      <c r="L59" s="44"/>
      <c r="M59" s="35">
        <v>0.715</v>
      </c>
      <c r="N59" s="44"/>
      <c r="O59" s="35">
        <v>1.613933825161E12</v>
      </c>
      <c r="P59" s="35">
        <v>1351.0</v>
      </c>
      <c r="Q59" s="32">
        <f t="shared" si="1"/>
        <v>0.005648636364</v>
      </c>
    </row>
    <row r="60">
      <c r="A60" s="16">
        <v>1.0</v>
      </c>
      <c r="B60" s="33" t="s">
        <v>24</v>
      </c>
      <c r="C60" s="33" t="s">
        <v>80</v>
      </c>
      <c r="D60" s="33"/>
      <c r="E60" s="33"/>
      <c r="F60" s="35">
        <v>4.354</v>
      </c>
      <c r="G60" s="45">
        <v>3250.0</v>
      </c>
      <c r="H60" s="46">
        <v>0.1</v>
      </c>
      <c r="I60" s="43">
        <v>3264167.0</v>
      </c>
      <c r="J60" s="43">
        <v>1002.0</v>
      </c>
      <c r="K60" s="43">
        <v>8.552</v>
      </c>
      <c r="L60" s="44"/>
      <c r="M60" s="43"/>
      <c r="N60" s="35">
        <v>75439.705</v>
      </c>
      <c r="O60" s="35">
        <v>1.613933825161E12</v>
      </c>
      <c r="P60" s="35">
        <v>1352.0</v>
      </c>
      <c r="Q60" s="32">
        <f t="shared" si="1"/>
        <v>0.005354545455</v>
      </c>
    </row>
    <row r="61">
      <c r="A61" s="16">
        <v>2.0</v>
      </c>
      <c r="B61" s="33" t="s">
        <v>24</v>
      </c>
      <c r="C61" s="37"/>
      <c r="D61" s="37"/>
      <c r="E61" s="37"/>
      <c r="F61" s="35">
        <v>4.512</v>
      </c>
      <c r="G61" s="45">
        <v>5325.0</v>
      </c>
      <c r="H61" s="46">
        <v>0.16</v>
      </c>
      <c r="I61" s="43">
        <v>3264167.0</v>
      </c>
      <c r="J61" s="43">
        <v>798.0</v>
      </c>
      <c r="K61" s="43">
        <v>9.402</v>
      </c>
      <c r="L61" s="44"/>
      <c r="M61" s="43"/>
      <c r="N61" s="44"/>
      <c r="O61" s="35">
        <v>1.613933825161E12</v>
      </c>
      <c r="P61" s="35">
        <v>1352.0</v>
      </c>
      <c r="Q61" s="32">
        <f t="shared" si="1"/>
        <v>0.006297727273</v>
      </c>
    </row>
    <row r="62">
      <c r="A62" s="16">
        <v>3.0</v>
      </c>
      <c r="B62" s="33" t="s">
        <v>24</v>
      </c>
      <c r="C62" s="33" t="s">
        <v>10</v>
      </c>
      <c r="D62" s="33"/>
      <c r="E62" s="33"/>
      <c r="F62" s="35">
        <v>4.776</v>
      </c>
      <c r="G62" s="45">
        <v>446047.0</v>
      </c>
      <c r="H62" s="46">
        <v>13.66</v>
      </c>
      <c r="I62" s="43">
        <v>3264167.0</v>
      </c>
      <c r="J62" s="43">
        <v>137004.0</v>
      </c>
      <c r="K62" s="43">
        <v>20.154</v>
      </c>
      <c r="L62" s="43"/>
      <c r="M62" s="35">
        <v>1.287</v>
      </c>
      <c r="N62" s="35">
        <v>64926.889</v>
      </c>
      <c r="O62" s="35">
        <v>1.613933825161E12</v>
      </c>
      <c r="P62" s="35">
        <v>1352.0</v>
      </c>
      <c r="Q62" s="32">
        <f t="shared" si="1"/>
        <v>0.2066259091</v>
      </c>
    </row>
    <row r="63">
      <c r="A63" s="16">
        <v>4.0</v>
      </c>
      <c r="B63" s="33" t="s">
        <v>24</v>
      </c>
      <c r="C63" s="33" t="s">
        <v>82</v>
      </c>
      <c r="D63" s="33"/>
      <c r="E63" s="33"/>
      <c r="F63" s="35">
        <v>4.954</v>
      </c>
      <c r="G63" s="45">
        <v>13940.0</v>
      </c>
      <c r="H63" s="46">
        <v>0.43</v>
      </c>
      <c r="I63" s="43">
        <v>3264167.0</v>
      </c>
      <c r="J63" s="43">
        <v>4355.0</v>
      </c>
      <c r="K63" s="43">
        <v>5.301</v>
      </c>
      <c r="L63" s="43"/>
      <c r="M63" s="43"/>
      <c r="N63" s="44"/>
      <c r="O63" s="35">
        <v>1.613933825161E12</v>
      </c>
      <c r="P63" s="35">
        <v>1352.0</v>
      </c>
      <c r="Q63" s="32">
        <f t="shared" si="1"/>
        <v>0.01021363636</v>
      </c>
    </row>
    <row r="64">
      <c r="A64" s="16">
        <v>5.0</v>
      </c>
      <c r="B64" s="33" t="s">
        <v>24</v>
      </c>
      <c r="C64" s="37"/>
      <c r="D64" s="37"/>
      <c r="E64" s="37"/>
      <c r="F64" s="35">
        <v>5.052</v>
      </c>
      <c r="G64" s="44">
        <v>7047.0</v>
      </c>
      <c r="H64" s="44">
        <v>0.22</v>
      </c>
      <c r="I64" s="43">
        <v>3264167.0</v>
      </c>
      <c r="J64" s="43">
        <v>1338.0</v>
      </c>
      <c r="K64" s="43">
        <v>9.802</v>
      </c>
      <c r="L64" s="43"/>
      <c r="M64" s="43"/>
      <c r="N64" s="44"/>
      <c r="O64" s="35">
        <v>1.613933825161E12</v>
      </c>
      <c r="P64" s="35">
        <v>1352.0</v>
      </c>
      <c r="Q64" s="32">
        <f t="shared" si="1"/>
        <v>0.007080454545</v>
      </c>
    </row>
    <row r="65">
      <c r="A65" s="16">
        <v>6.0</v>
      </c>
      <c r="B65" s="33" t="s">
        <v>24</v>
      </c>
      <c r="C65" s="37"/>
      <c r="D65" s="37"/>
      <c r="E65" s="37"/>
      <c r="F65" s="35">
        <v>5.484</v>
      </c>
      <c r="G65" s="44">
        <v>8465.0</v>
      </c>
      <c r="H65" s="44">
        <v>0.26</v>
      </c>
      <c r="I65" s="43">
        <v>3264167.0</v>
      </c>
      <c r="J65" s="43">
        <v>725.0</v>
      </c>
      <c r="K65" s="43">
        <v>19.754</v>
      </c>
      <c r="L65" s="43"/>
      <c r="M65" s="43"/>
      <c r="N65" s="35">
        <v>5184.306</v>
      </c>
      <c r="O65" s="35">
        <v>1.613933825161E12</v>
      </c>
      <c r="P65" s="35">
        <v>1352.0</v>
      </c>
      <c r="Q65" s="32">
        <f t="shared" si="1"/>
        <v>0.007725</v>
      </c>
    </row>
    <row r="66">
      <c r="A66" s="16">
        <v>7.0</v>
      </c>
      <c r="B66" s="33" t="s">
        <v>24</v>
      </c>
      <c r="C66" s="37"/>
      <c r="D66" s="37"/>
      <c r="E66" s="37"/>
      <c r="F66" s="35">
        <v>5.541</v>
      </c>
      <c r="G66" s="44">
        <v>1038.0</v>
      </c>
      <c r="H66" s="44">
        <v>0.03</v>
      </c>
      <c r="I66" s="43">
        <v>3264167.0</v>
      </c>
      <c r="J66" s="43">
        <v>681.0</v>
      </c>
      <c r="K66" s="39">
        <v>3.701</v>
      </c>
      <c r="L66" s="39">
        <v>0.353</v>
      </c>
      <c r="M66" s="43"/>
      <c r="N66" s="35">
        <v>382537.689</v>
      </c>
      <c r="O66" s="35">
        <v>1.613933825161E12</v>
      </c>
      <c r="P66" s="35">
        <v>1352.0</v>
      </c>
      <c r="Q66" s="32">
        <f t="shared" si="1"/>
        <v>0.004349090909</v>
      </c>
    </row>
    <row r="67">
      <c r="A67" s="16">
        <v>8.0</v>
      </c>
      <c r="B67" s="33" t="s">
        <v>24</v>
      </c>
      <c r="C67" s="33" t="s">
        <v>13</v>
      </c>
      <c r="D67" s="33"/>
      <c r="E67" s="33"/>
      <c r="F67" s="45">
        <v>5.764</v>
      </c>
      <c r="G67" s="46">
        <v>51602.0</v>
      </c>
      <c r="H67" s="43">
        <v>1.58</v>
      </c>
      <c r="I67" s="43">
        <v>3264167.0</v>
      </c>
      <c r="J67" s="43">
        <v>25217.0</v>
      </c>
      <c r="K67" s="43">
        <v>13.203</v>
      </c>
      <c r="L67" s="35">
        <v>4.885</v>
      </c>
      <c r="M67" s="43"/>
      <c r="N67" s="35">
        <v>264835.398</v>
      </c>
      <c r="O67" s="35">
        <v>1.613933825161E12</v>
      </c>
      <c r="P67" s="35">
        <v>1352.0</v>
      </c>
      <c r="Q67" s="32">
        <f t="shared" si="1"/>
        <v>0.02733272727</v>
      </c>
    </row>
    <row r="68">
      <c r="A68" s="16">
        <v>9.0</v>
      </c>
      <c r="B68" s="33" t="s">
        <v>24</v>
      </c>
      <c r="C68" s="33" t="s">
        <v>15</v>
      </c>
      <c r="D68" s="33"/>
      <c r="E68" s="33"/>
      <c r="F68" s="45">
        <v>5.91</v>
      </c>
      <c r="G68" s="46">
        <v>2314578.0</v>
      </c>
      <c r="H68" s="43">
        <v>70.91</v>
      </c>
      <c r="I68" s="43">
        <v>3264167.0</v>
      </c>
      <c r="J68" s="43">
        <v>681731.0</v>
      </c>
      <c r="K68" s="43">
        <v>27.256</v>
      </c>
      <c r="L68" s="35">
        <v>2.092</v>
      </c>
      <c r="M68" s="43"/>
      <c r="N68" s="35">
        <v>80814.998</v>
      </c>
      <c r="O68" s="35">
        <v>1.613933825161E12</v>
      </c>
      <c r="P68" s="35">
        <v>1352.0</v>
      </c>
      <c r="Q68" s="32">
        <f t="shared" si="1"/>
        <v>1.055958182</v>
      </c>
    </row>
    <row r="69">
      <c r="A69" s="16">
        <v>10.0</v>
      </c>
      <c r="B69" s="33" t="s">
        <v>24</v>
      </c>
      <c r="C69" s="37"/>
      <c r="D69" s="37"/>
      <c r="E69" s="37"/>
      <c r="F69" s="45">
        <v>6.398</v>
      </c>
      <c r="G69" s="46">
        <v>22152.0</v>
      </c>
      <c r="H69" s="43">
        <v>0.68</v>
      </c>
      <c r="I69" s="43">
        <v>3264167.0</v>
      </c>
      <c r="J69" s="43">
        <v>6570.0</v>
      </c>
      <c r="K69" s="43">
        <v>9.802</v>
      </c>
      <c r="L69" s="35">
        <v>7.187</v>
      </c>
      <c r="M69" s="43"/>
      <c r="N69" s="44"/>
      <c r="O69" s="35">
        <v>1.613933825161E12</v>
      </c>
      <c r="P69" s="35">
        <v>1352.0</v>
      </c>
      <c r="Q69" s="32">
        <f t="shared" si="1"/>
        <v>0.01394636364</v>
      </c>
    </row>
    <row r="70">
      <c r="A70" s="16">
        <v>11.0</v>
      </c>
      <c r="B70" s="33" t="s">
        <v>24</v>
      </c>
      <c r="C70" s="33" t="s">
        <v>17</v>
      </c>
      <c r="D70" s="33"/>
      <c r="E70" s="33"/>
      <c r="F70" s="45">
        <v>6.456</v>
      </c>
      <c r="G70" s="46">
        <v>333404.0</v>
      </c>
      <c r="H70" s="43">
        <v>10.21</v>
      </c>
      <c r="I70" s="43">
        <v>3264167.0</v>
      </c>
      <c r="J70" s="43">
        <v>164072.0</v>
      </c>
      <c r="K70" s="43">
        <v>7.502</v>
      </c>
      <c r="L70" s="35">
        <v>1.815</v>
      </c>
      <c r="M70" s="43"/>
      <c r="N70" s="35">
        <v>269547.779</v>
      </c>
      <c r="O70" s="35">
        <v>1.613933825161E12</v>
      </c>
      <c r="P70" s="35">
        <v>1352.0</v>
      </c>
      <c r="Q70" s="32">
        <f t="shared" si="1"/>
        <v>0.1554245455</v>
      </c>
    </row>
    <row r="71">
      <c r="A71" s="16">
        <v>12.0</v>
      </c>
      <c r="B71" s="33" t="s">
        <v>24</v>
      </c>
      <c r="C71" s="37"/>
      <c r="D71" s="37"/>
      <c r="E71" s="37"/>
      <c r="F71" s="45">
        <v>6.591</v>
      </c>
      <c r="G71" s="46">
        <v>25615.0</v>
      </c>
      <c r="H71" s="43">
        <v>0.78</v>
      </c>
      <c r="I71" s="43">
        <v>3264167.0</v>
      </c>
      <c r="J71" s="43">
        <v>8446.0</v>
      </c>
      <c r="K71" s="43">
        <v>6.301</v>
      </c>
      <c r="L71" s="35">
        <v>0.984</v>
      </c>
      <c r="M71" s="43"/>
      <c r="N71" s="35">
        <v>221333.97</v>
      </c>
      <c r="O71" s="35">
        <v>1.613933825161E12</v>
      </c>
      <c r="P71" s="35">
        <v>1352.0</v>
      </c>
      <c r="Q71" s="32">
        <f t="shared" si="1"/>
        <v>0.01552045455</v>
      </c>
    </row>
    <row r="72">
      <c r="A72" s="16">
        <v>13.0</v>
      </c>
      <c r="B72" s="33" t="s">
        <v>24</v>
      </c>
      <c r="C72" s="33"/>
      <c r="D72" s="33"/>
      <c r="E72" s="33"/>
      <c r="F72" s="45">
        <v>6.673</v>
      </c>
      <c r="G72" s="46">
        <v>12016.0</v>
      </c>
      <c r="H72" s="43">
        <v>0.37</v>
      </c>
      <c r="I72" s="43">
        <v>3264167.0</v>
      </c>
      <c r="J72" s="43">
        <v>4133.0</v>
      </c>
      <c r="K72" s="43">
        <v>9.202</v>
      </c>
      <c r="L72" s="35">
        <v>1.309</v>
      </c>
      <c r="M72" s="43"/>
      <c r="N72" s="35">
        <v>240230.305</v>
      </c>
      <c r="O72" s="35">
        <v>1.613933825161E12</v>
      </c>
      <c r="P72" s="35">
        <v>1352.0</v>
      </c>
      <c r="Q72" s="32">
        <f t="shared" si="1"/>
        <v>0.009339090909</v>
      </c>
    </row>
    <row r="73">
      <c r="A73" s="16">
        <v>14.0</v>
      </c>
      <c r="B73" s="33" t="s">
        <v>24</v>
      </c>
      <c r="C73" s="33"/>
      <c r="D73" s="33"/>
      <c r="E73" s="33"/>
      <c r="F73" s="45">
        <v>7.071</v>
      </c>
      <c r="G73" s="46">
        <v>9437.0</v>
      </c>
      <c r="H73" s="43">
        <v>0.29</v>
      </c>
      <c r="I73" s="43">
        <v>3264167.0</v>
      </c>
      <c r="J73" s="43">
        <v>3751.0</v>
      </c>
      <c r="K73" s="43">
        <v>8.302</v>
      </c>
      <c r="L73" s="35">
        <v>1.408</v>
      </c>
      <c r="M73" s="43"/>
      <c r="N73" s="35">
        <v>349432.913</v>
      </c>
      <c r="O73" s="35">
        <v>1.613933825161E12</v>
      </c>
      <c r="P73" s="35">
        <v>1352.0</v>
      </c>
      <c r="Q73" s="32">
        <f t="shared" si="1"/>
        <v>0.008166818182</v>
      </c>
    </row>
    <row r="74">
      <c r="A74" s="16">
        <v>15.0</v>
      </c>
      <c r="B74" s="33" t="s">
        <v>24</v>
      </c>
      <c r="C74" s="33"/>
      <c r="D74" s="33"/>
      <c r="E74" s="33"/>
      <c r="F74" s="44">
        <v>7.173</v>
      </c>
      <c r="G74" s="44">
        <v>6311.0</v>
      </c>
      <c r="H74" s="44">
        <v>0.19</v>
      </c>
      <c r="I74" s="44">
        <v>3264167.0</v>
      </c>
      <c r="J74" s="44">
        <v>1672.0</v>
      </c>
      <c r="K74" s="43">
        <v>8.102</v>
      </c>
      <c r="L74" s="35"/>
      <c r="M74" s="43"/>
      <c r="N74" s="35">
        <v>236424.678</v>
      </c>
      <c r="O74" s="35">
        <v>1.613933825161E12</v>
      </c>
      <c r="P74" s="35">
        <v>1352.0</v>
      </c>
      <c r="Q74" s="32">
        <f t="shared" si="1"/>
        <v>0.006745909091</v>
      </c>
    </row>
    <row r="75">
      <c r="A75" s="16">
        <v>16.0</v>
      </c>
      <c r="B75" s="33" t="s">
        <v>24</v>
      </c>
      <c r="C75" s="33"/>
      <c r="D75" s="33"/>
      <c r="E75" s="33"/>
      <c r="F75" s="44">
        <v>7.26</v>
      </c>
      <c r="G75" s="44">
        <v>53.0</v>
      </c>
      <c r="H75" s="44">
        <v>0.0</v>
      </c>
      <c r="I75" s="44">
        <v>3264167.0</v>
      </c>
      <c r="J75" s="44">
        <v>141.0</v>
      </c>
      <c r="K75" s="43">
        <v>0.9</v>
      </c>
      <c r="L75" s="35"/>
      <c r="M75" s="43"/>
      <c r="N75" s="44"/>
      <c r="O75" s="35">
        <v>1.613933825161E12</v>
      </c>
      <c r="P75" s="35">
        <v>1352.0</v>
      </c>
      <c r="Q75" s="32">
        <f t="shared" si="1"/>
        <v>0.003901363636</v>
      </c>
    </row>
    <row r="76">
      <c r="A76" s="16">
        <v>17.0</v>
      </c>
      <c r="B76" s="33" t="s">
        <v>24</v>
      </c>
      <c r="C76" s="33"/>
      <c r="D76" s="33"/>
      <c r="E76" s="33"/>
      <c r="F76" s="44">
        <v>7.332</v>
      </c>
      <c r="G76" s="44">
        <v>3887.0</v>
      </c>
      <c r="H76" s="44">
        <v>0.12</v>
      </c>
      <c r="I76" s="44">
        <v>3264167.0</v>
      </c>
      <c r="J76" s="44">
        <v>597.0</v>
      </c>
      <c r="K76" s="43">
        <v>11.502</v>
      </c>
      <c r="L76" s="35"/>
      <c r="M76" s="43"/>
      <c r="N76" s="35">
        <v>5662293.972</v>
      </c>
      <c r="O76" s="35">
        <v>1.613933825161E12</v>
      </c>
      <c r="P76" s="35">
        <v>1352.0</v>
      </c>
      <c r="Q76" s="32">
        <f t="shared" si="1"/>
        <v>0.005644090909</v>
      </c>
    </row>
    <row r="77">
      <c r="A77" s="16">
        <v>1.0</v>
      </c>
      <c r="B77" s="33" t="s">
        <v>25</v>
      </c>
      <c r="C77" s="33" t="s">
        <v>80</v>
      </c>
      <c r="D77" s="33"/>
      <c r="E77" s="33"/>
      <c r="F77" s="35">
        <v>4.352</v>
      </c>
      <c r="G77" s="35">
        <v>2938.0</v>
      </c>
      <c r="H77" s="35">
        <v>0.1</v>
      </c>
      <c r="I77" s="35">
        <v>3030748.0</v>
      </c>
      <c r="J77" s="35">
        <v>859.0</v>
      </c>
      <c r="K77" s="35">
        <v>8.302</v>
      </c>
      <c r="L77" s="35" t="s">
        <v>81</v>
      </c>
      <c r="M77" s="35" t="s">
        <v>81</v>
      </c>
      <c r="N77" s="35">
        <v>75190.861</v>
      </c>
      <c r="O77" s="35">
        <v>1.613933825161E12</v>
      </c>
      <c r="P77" s="35">
        <v>1353.0</v>
      </c>
      <c r="Q77" s="32">
        <f t="shared" si="1"/>
        <v>0.005212727273</v>
      </c>
    </row>
    <row r="78">
      <c r="A78" s="16">
        <v>2.0</v>
      </c>
      <c r="B78" s="33" t="s">
        <v>25</v>
      </c>
      <c r="C78" s="33"/>
      <c r="D78" s="33"/>
      <c r="E78" s="33"/>
      <c r="F78" s="35">
        <v>4.509</v>
      </c>
      <c r="G78" s="35">
        <v>5384.0</v>
      </c>
      <c r="H78" s="35">
        <v>0.18</v>
      </c>
      <c r="I78" s="35">
        <v>3030748.0</v>
      </c>
      <c r="J78" s="35">
        <v>796.0</v>
      </c>
      <c r="K78" s="35">
        <v>9.602</v>
      </c>
      <c r="L78" s="35" t="s">
        <v>81</v>
      </c>
      <c r="M78" s="35" t="s">
        <v>81</v>
      </c>
      <c r="N78" s="35" t="s">
        <v>81</v>
      </c>
      <c r="O78" s="35">
        <v>1.613933825161E12</v>
      </c>
      <c r="P78" s="35">
        <v>1353.0</v>
      </c>
      <c r="Q78" s="32">
        <f t="shared" si="1"/>
        <v>0.006324545455</v>
      </c>
    </row>
    <row r="79">
      <c r="A79" s="16">
        <v>3.0</v>
      </c>
      <c r="B79" s="33" t="s">
        <v>25</v>
      </c>
      <c r="C79" s="33" t="s">
        <v>10</v>
      </c>
      <c r="D79" s="33"/>
      <c r="E79" s="33"/>
      <c r="F79" s="35">
        <v>4.778</v>
      </c>
      <c r="G79" s="35">
        <v>374704.0</v>
      </c>
      <c r="H79" s="35">
        <v>12.36</v>
      </c>
      <c r="I79" s="35">
        <v>3030748.0</v>
      </c>
      <c r="J79" s="35">
        <v>115635.0</v>
      </c>
      <c r="K79" s="35">
        <v>19.804</v>
      </c>
      <c r="L79" s="35" t="s">
        <v>81</v>
      </c>
      <c r="M79" s="35">
        <v>1.296</v>
      </c>
      <c r="N79" s="35">
        <v>66221.115</v>
      </c>
      <c r="O79" s="35">
        <v>1.613933825161E12</v>
      </c>
      <c r="P79" s="35">
        <v>1353.0</v>
      </c>
      <c r="Q79" s="32">
        <f t="shared" si="1"/>
        <v>0.1741972727</v>
      </c>
    </row>
    <row r="80">
      <c r="A80" s="16">
        <v>4.0</v>
      </c>
      <c r="B80" s="33" t="s">
        <v>25</v>
      </c>
      <c r="C80" s="33" t="s">
        <v>82</v>
      </c>
      <c r="D80" s="33"/>
      <c r="E80" s="33"/>
      <c r="F80" s="35">
        <v>4.954</v>
      </c>
      <c r="G80" s="35">
        <v>18834.0</v>
      </c>
      <c r="H80" s="35">
        <v>0.62</v>
      </c>
      <c r="I80" s="35">
        <v>3030748.0</v>
      </c>
      <c r="J80" s="35">
        <v>4586.0</v>
      </c>
      <c r="K80" s="35">
        <v>9.052</v>
      </c>
      <c r="L80" s="35" t="s">
        <v>81</v>
      </c>
      <c r="M80" s="35" t="s">
        <v>81</v>
      </c>
      <c r="N80" s="35" t="s">
        <v>81</v>
      </c>
      <c r="O80" s="35">
        <v>1.613933825161E12</v>
      </c>
      <c r="P80" s="35">
        <v>1353.0</v>
      </c>
      <c r="Q80" s="32">
        <f t="shared" si="1"/>
        <v>0.01243818182</v>
      </c>
    </row>
    <row r="81">
      <c r="A81" s="16">
        <v>5.0</v>
      </c>
      <c r="B81" s="33" t="s">
        <v>25</v>
      </c>
      <c r="C81" s="33"/>
      <c r="D81" s="33"/>
      <c r="E81" s="33"/>
      <c r="F81" s="35">
        <v>5.082</v>
      </c>
      <c r="G81" s="35">
        <v>2474.0</v>
      </c>
      <c r="H81" s="35">
        <v>0.08</v>
      </c>
      <c r="I81" s="35">
        <v>3030748.0</v>
      </c>
      <c r="J81" s="35">
        <v>754.0</v>
      </c>
      <c r="K81" s="35">
        <v>19.954</v>
      </c>
      <c r="L81" s="35" t="s">
        <v>81</v>
      </c>
      <c r="M81" s="35" t="s">
        <v>81</v>
      </c>
      <c r="N81" s="35" t="s">
        <v>81</v>
      </c>
      <c r="O81" s="35">
        <v>1.613933825161E12</v>
      </c>
      <c r="P81" s="35">
        <v>1353.0</v>
      </c>
      <c r="Q81" s="32">
        <f t="shared" si="1"/>
        <v>0.005001818182</v>
      </c>
    </row>
    <row r="82">
      <c r="A82" s="16">
        <v>6.0</v>
      </c>
      <c r="B82" s="33" t="s">
        <v>25</v>
      </c>
      <c r="C82" s="47"/>
      <c r="D82" s="33"/>
      <c r="E82" s="33"/>
      <c r="F82" s="35">
        <v>5.485</v>
      </c>
      <c r="G82" s="35">
        <v>8845.0</v>
      </c>
      <c r="H82" s="35">
        <v>0.29</v>
      </c>
      <c r="I82" s="35">
        <v>3030748.0</v>
      </c>
      <c r="J82" s="35">
        <v>21979.0</v>
      </c>
      <c r="K82" s="35">
        <v>13.153</v>
      </c>
      <c r="L82" s="35">
        <v>4.837</v>
      </c>
      <c r="M82" s="35" t="s">
        <v>81</v>
      </c>
      <c r="N82" s="35" t="s">
        <v>81</v>
      </c>
      <c r="O82" s="35">
        <v>1.613933825161E12</v>
      </c>
      <c r="P82" s="35">
        <v>1353.0</v>
      </c>
      <c r="Q82" s="32">
        <f t="shared" si="1"/>
        <v>0.007897727273</v>
      </c>
    </row>
    <row r="83">
      <c r="A83" s="16">
        <v>7.0</v>
      </c>
      <c r="B83" s="33" t="s">
        <v>25</v>
      </c>
      <c r="C83" s="47"/>
      <c r="D83" s="33"/>
      <c r="E83" s="33"/>
      <c r="F83" s="35">
        <v>5.541</v>
      </c>
      <c r="G83" s="35">
        <v>1201.0</v>
      </c>
      <c r="H83" s="35">
        <v>0.04</v>
      </c>
      <c r="I83" s="35">
        <v>3030748.0</v>
      </c>
      <c r="J83" s="35">
        <v>652543.0</v>
      </c>
      <c r="K83" s="35">
        <v>28.106</v>
      </c>
      <c r="L83" s="35">
        <v>2.065</v>
      </c>
      <c r="M83" s="35">
        <v>0.993</v>
      </c>
      <c r="N83" s="35" t="s">
        <v>81</v>
      </c>
      <c r="O83" s="35">
        <v>1.613933825161E12</v>
      </c>
      <c r="P83" s="35">
        <v>1353.0</v>
      </c>
      <c r="Q83" s="32">
        <f t="shared" si="1"/>
        <v>0.004423181818</v>
      </c>
    </row>
    <row r="84">
      <c r="A84" s="16">
        <v>8.0</v>
      </c>
      <c r="B84" s="33" t="s">
        <v>25</v>
      </c>
      <c r="C84" s="33" t="s">
        <v>13</v>
      </c>
      <c r="D84" s="33"/>
      <c r="E84" s="33"/>
      <c r="F84" s="35">
        <v>5.763</v>
      </c>
      <c r="G84" s="35">
        <v>45271.0</v>
      </c>
      <c r="H84" s="35">
        <v>1.49</v>
      </c>
      <c r="I84" s="35">
        <v>3030748.0</v>
      </c>
      <c r="J84" s="35">
        <v>159113.0</v>
      </c>
      <c r="K84" s="35">
        <v>7.902</v>
      </c>
      <c r="L84" s="35" t="s">
        <v>81</v>
      </c>
      <c r="M84" s="35">
        <v>1.306</v>
      </c>
      <c r="N84" s="35" t="s">
        <v>81</v>
      </c>
      <c r="O84" s="35">
        <v>1.613933825161E12</v>
      </c>
      <c r="P84" s="35">
        <v>1353.0</v>
      </c>
      <c r="Q84" s="32">
        <f t="shared" si="1"/>
        <v>0.024455</v>
      </c>
    </row>
    <row r="85">
      <c r="A85" s="16">
        <v>9.0</v>
      </c>
      <c r="B85" s="33" t="s">
        <v>25</v>
      </c>
      <c r="C85" s="33" t="s">
        <v>15</v>
      </c>
      <c r="D85" s="33"/>
      <c r="E85" s="33"/>
      <c r="F85" s="35">
        <v>5.908</v>
      </c>
      <c r="G85" s="35">
        <v>2176551.0</v>
      </c>
      <c r="H85" s="35">
        <v>71.82</v>
      </c>
      <c r="I85" s="35"/>
      <c r="J85" s="35"/>
      <c r="K85" s="35"/>
      <c r="L85" s="35"/>
      <c r="M85" s="35"/>
      <c r="N85" s="35"/>
      <c r="O85" s="35"/>
      <c r="P85" s="35"/>
      <c r="Q85" s="32">
        <f t="shared" si="1"/>
        <v>0.9932186364</v>
      </c>
    </row>
    <row r="86">
      <c r="A86" s="16">
        <v>10.0</v>
      </c>
      <c r="B86" s="33" t="s">
        <v>25</v>
      </c>
      <c r="C86" s="33"/>
      <c r="D86" s="33"/>
      <c r="E86" s="33"/>
      <c r="F86" s="35">
        <v>6.397</v>
      </c>
      <c r="G86" s="35">
        <v>20737.0</v>
      </c>
      <c r="H86" s="35">
        <v>0.68</v>
      </c>
      <c r="I86" s="35"/>
      <c r="J86" s="35"/>
      <c r="K86" s="35"/>
      <c r="L86" s="35"/>
      <c r="M86" s="35"/>
      <c r="N86" s="35"/>
      <c r="O86" s="35"/>
      <c r="P86" s="35"/>
      <c r="Q86" s="32">
        <f t="shared" si="1"/>
        <v>0.01330318182</v>
      </c>
    </row>
    <row r="87">
      <c r="A87" s="16">
        <v>11.0</v>
      </c>
      <c r="B87" s="33" t="s">
        <v>25</v>
      </c>
      <c r="C87" s="33" t="s">
        <v>17</v>
      </c>
      <c r="D87" s="33"/>
      <c r="E87" s="33"/>
      <c r="F87" s="35">
        <v>6.456</v>
      </c>
      <c r="G87" s="35">
        <v>322615.0</v>
      </c>
      <c r="H87" s="35">
        <v>10.64</v>
      </c>
      <c r="I87" s="35"/>
      <c r="J87" s="35"/>
      <c r="K87" s="35"/>
      <c r="L87" s="35"/>
      <c r="M87" s="35"/>
      <c r="N87" s="35"/>
      <c r="O87" s="35"/>
      <c r="P87" s="35"/>
      <c r="Q87" s="32">
        <f t="shared" si="1"/>
        <v>0.1505204545</v>
      </c>
    </row>
    <row r="88">
      <c r="A88" s="16">
        <v>12.0</v>
      </c>
      <c r="B88" s="33" t="s">
        <v>25</v>
      </c>
      <c r="C88" s="33"/>
      <c r="D88" s="33"/>
      <c r="E88" s="33"/>
      <c r="F88" s="35">
        <v>6.59</v>
      </c>
      <c r="G88" s="35">
        <v>22377.0</v>
      </c>
      <c r="H88" s="35">
        <v>0.74</v>
      </c>
      <c r="I88" s="35"/>
      <c r="J88" s="35"/>
      <c r="K88" s="35"/>
      <c r="L88" s="35"/>
      <c r="M88" s="35"/>
      <c r="N88" s="35"/>
      <c r="O88" s="35"/>
      <c r="P88" s="35"/>
      <c r="Q88" s="32">
        <f t="shared" si="1"/>
        <v>0.01404863636</v>
      </c>
    </row>
    <row r="89">
      <c r="A89" s="16">
        <v>13.0</v>
      </c>
      <c r="B89" s="33" t="s">
        <v>25</v>
      </c>
      <c r="C89" s="33"/>
      <c r="D89" s="33"/>
      <c r="E89" s="33"/>
      <c r="F89" s="35">
        <v>6.672</v>
      </c>
      <c r="G89" s="35">
        <v>10339.0</v>
      </c>
      <c r="H89" s="35">
        <v>0.34</v>
      </c>
      <c r="I89" s="35"/>
      <c r="J89" s="35"/>
      <c r="K89" s="35"/>
      <c r="L89" s="35"/>
      <c r="M89" s="35"/>
      <c r="N89" s="35"/>
      <c r="O89" s="35"/>
      <c r="P89" s="35"/>
      <c r="Q89" s="32">
        <f t="shared" si="1"/>
        <v>0.008576818182</v>
      </c>
    </row>
    <row r="90">
      <c r="A90" s="16">
        <v>14.0</v>
      </c>
      <c r="B90" s="33" t="s">
        <v>25</v>
      </c>
      <c r="C90" s="33"/>
      <c r="D90" s="33"/>
      <c r="E90" s="33"/>
      <c r="F90" s="35">
        <v>7.072</v>
      </c>
      <c r="G90" s="35">
        <v>8942.0</v>
      </c>
      <c r="H90" s="35">
        <v>0.3</v>
      </c>
      <c r="I90" s="35"/>
      <c r="J90" s="35"/>
      <c r="K90" s="35"/>
      <c r="L90" s="35"/>
      <c r="M90" s="35"/>
      <c r="N90" s="35"/>
      <c r="O90" s="35"/>
      <c r="P90" s="35"/>
      <c r="Q90" s="32">
        <f t="shared" si="1"/>
        <v>0.007941818182</v>
      </c>
    </row>
    <row r="91">
      <c r="A91" s="16">
        <v>15.0</v>
      </c>
      <c r="B91" s="33" t="s">
        <v>25</v>
      </c>
      <c r="C91" s="33"/>
      <c r="D91" s="33"/>
      <c r="E91" s="33"/>
      <c r="F91" s="35">
        <v>7.174</v>
      </c>
      <c r="G91" s="35">
        <v>5386.0</v>
      </c>
      <c r="H91" s="35">
        <v>0.18</v>
      </c>
      <c r="I91" s="35"/>
      <c r="J91" s="35"/>
      <c r="K91" s="35"/>
      <c r="L91" s="35"/>
      <c r="M91" s="35"/>
      <c r="N91" s="35"/>
      <c r="O91" s="35"/>
      <c r="P91" s="35"/>
      <c r="Q91" s="32">
        <f t="shared" si="1"/>
        <v>0.006325454545</v>
      </c>
    </row>
    <row r="92">
      <c r="A92" s="16">
        <v>16.0</v>
      </c>
      <c r="B92" s="33" t="s">
        <v>25</v>
      </c>
      <c r="C92" s="33"/>
      <c r="D92" s="33"/>
      <c r="E92" s="33"/>
      <c r="F92" s="35">
        <v>7.26</v>
      </c>
      <c r="G92" s="35">
        <v>21.0</v>
      </c>
      <c r="H92" s="35">
        <v>0.0</v>
      </c>
      <c r="I92" s="35"/>
      <c r="J92" s="35"/>
      <c r="K92" s="35"/>
      <c r="L92" s="35"/>
      <c r="M92" s="35"/>
      <c r="N92" s="35"/>
      <c r="O92" s="35"/>
      <c r="P92" s="35"/>
      <c r="Q92" s="32">
        <f t="shared" si="1"/>
        <v>0.003886818182</v>
      </c>
    </row>
    <row r="93">
      <c r="A93" s="16">
        <v>17.0</v>
      </c>
      <c r="B93" s="33" t="s">
        <v>25</v>
      </c>
      <c r="C93" s="33"/>
      <c r="D93" s="33"/>
      <c r="E93" s="33"/>
      <c r="F93" s="35">
        <v>7.423</v>
      </c>
      <c r="G93" s="35">
        <v>4128.0</v>
      </c>
      <c r="H93" s="35">
        <v>0.14</v>
      </c>
      <c r="I93" s="35"/>
      <c r="J93" s="35"/>
      <c r="K93" s="35"/>
      <c r="L93" s="35"/>
      <c r="M93" s="35"/>
      <c r="N93" s="35"/>
      <c r="O93" s="35"/>
      <c r="P93" s="35"/>
      <c r="Q93" s="32">
        <f t="shared" si="1"/>
        <v>0.005753636364</v>
      </c>
    </row>
    <row r="94">
      <c r="A94" s="16">
        <v>1.0</v>
      </c>
      <c r="B94" s="33" t="s">
        <v>26</v>
      </c>
      <c r="C94" s="33" t="s">
        <v>80</v>
      </c>
      <c r="D94" s="33"/>
      <c r="E94" s="33"/>
      <c r="F94" s="35">
        <v>4.35</v>
      </c>
      <c r="G94" s="35">
        <v>2837.0</v>
      </c>
      <c r="H94" s="35">
        <v>0.1</v>
      </c>
      <c r="I94" s="35">
        <v>2891969.0</v>
      </c>
      <c r="J94" s="35">
        <v>872.0</v>
      </c>
      <c r="K94" s="35">
        <v>8.052</v>
      </c>
      <c r="L94" s="35" t="s">
        <v>81</v>
      </c>
      <c r="M94" s="35" t="s">
        <v>81</v>
      </c>
      <c r="N94" s="35">
        <v>70052.488</v>
      </c>
      <c r="O94" s="35">
        <v>1.613933825161E12</v>
      </c>
      <c r="P94" s="35">
        <v>1354.0</v>
      </c>
      <c r="Q94" s="32">
        <f t="shared" si="1"/>
        <v>0.005166818182</v>
      </c>
    </row>
    <row r="95">
      <c r="A95" s="16">
        <v>2.0</v>
      </c>
      <c r="B95" s="33" t="s">
        <v>26</v>
      </c>
      <c r="C95" s="48"/>
      <c r="D95" s="33"/>
      <c r="E95" s="33"/>
      <c r="F95" s="35">
        <v>4.506</v>
      </c>
      <c r="G95" s="35">
        <v>5293.0</v>
      </c>
      <c r="H95" s="35">
        <v>0.18</v>
      </c>
      <c r="I95" s="35">
        <v>2891969.0</v>
      </c>
      <c r="J95" s="35">
        <v>773.0</v>
      </c>
      <c r="K95" s="35">
        <v>10.302</v>
      </c>
      <c r="L95" s="35" t="s">
        <v>81</v>
      </c>
      <c r="M95" s="35" t="s">
        <v>81</v>
      </c>
      <c r="N95" s="35" t="s">
        <v>81</v>
      </c>
      <c r="O95" s="35">
        <v>1.613933825161E12</v>
      </c>
      <c r="P95" s="35">
        <v>1354.0</v>
      </c>
      <c r="Q95" s="32">
        <f t="shared" si="1"/>
        <v>0.006283181818</v>
      </c>
    </row>
    <row r="96">
      <c r="A96" s="16">
        <v>3.0</v>
      </c>
      <c r="B96" s="33" t="s">
        <v>26</v>
      </c>
      <c r="C96" s="33" t="s">
        <v>10</v>
      </c>
      <c r="D96" s="33"/>
      <c r="E96" s="33"/>
      <c r="F96" s="35">
        <v>4.777</v>
      </c>
      <c r="G96" s="35">
        <v>331322.0</v>
      </c>
      <c r="H96" s="35">
        <v>11.46</v>
      </c>
      <c r="I96" s="35">
        <v>2891969.0</v>
      </c>
      <c r="J96" s="35">
        <v>103790.0</v>
      </c>
      <c r="K96" s="35">
        <v>19.454</v>
      </c>
      <c r="L96" s="35" t="s">
        <v>81</v>
      </c>
      <c r="M96" s="35">
        <v>1.307</v>
      </c>
      <c r="N96" s="35">
        <v>68732.4</v>
      </c>
      <c r="O96" s="35">
        <v>1.613933825161E12</v>
      </c>
      <c r="P96" s="35">
        <v>1354.0</v>
      </c>
      <c r="Q96" s="32">
        <f t="shared" si="1"/>
        <v>0.1544781818</v>
      </c>
    </row>
    <row r="97">
      <c r="A97" s="16">
        <v>4.0</v>
      </c>
      <c r="B97" s="33" t="s">
        <v>26</v>
      </c>
      <c r="C97" s="33" t="s">
        <v>82</v>
      </c>
      <c r="D97" s="33"/>
      <c r="E97" s="33"/>
      <c r="F97" s="35">
        <v>4.952</v>
      </c>
      <c r="G97" s="35">
        <v>12753.0</v>
      </c>
      <c r="H97" s="35">
        <v>0.44</v>
      </c>
      <c r="I97" s="35">
        <v>2891969.0</v>
      </c>
      <c r="J97" s="35">
        <v>3961.0</v>
      </c>
      <c r="K97" s="35">
        <v>5.301</v>
      </c>
      <c r="L97" s="35" t="s">
        <v>81</v>
      </c>
      <c r="M97" s="35" t="s">
        <v>81</v>
      </c>
      <c r="N97" s="35" t="s">
        <v>81</v>
      </c>
      <c r="O97" s="35">
        <v>1.613933825161E12</v>
      </c>
      <c r="P97" s="35">
        <v>1354.0</v>
      </c>
      <c r="Q97" s="32">
        <f t="shared" si="1"/>
        <v>0.009674090909</v>
      </c>
    </row>
    <row r="98">
      <c r="A98" s="16">
        <v>5.0</v>
      </c>
      <c r="B98" s="33" t="s">
        <v>26</v>
      </c>
      <c r="C98" s="33"/>
      <c r="D98" s="33"/>
      <c r="E98" s="33"/>
      <c r="F98" s="35">
        <v>5.045</v>
      </c>
      <c r="G98" s="35">
        <v>6297.0</v>
      </c>
      <c r="H98" s="35">
        <v>0.22</v>
      </c>
      <c r="I98" s="35">
        <v>2891969.0</v>
      </c>
      <c r="J98" s="35">
        <v>20428.0</v>
      </c>
      <c r="K98" s="35">
        <v>13.003</v>
      </c>
      <c r="L98" s="35" t="s">
        <v>81</v>
      </c>
      <c r="M98" s="35" t="s">
        <v>81</v>
      </c>
      <c r="N98" s="35" t="s">
        <v>81</v>
      </c>
      <c r="O98" s="35">
        <v>1.613933825161E12</v>
      </c>
      <c r="P98" s="35">
        <v>1354.0</v>
      </c>
      <c r="Q98" s="32">
        <f t="shared" si="1"/>
        <v>0.006739545455</v>
      </c>
    </row>
    <row r="99">
      <c r="A99" s="16">
        <v>6.0</v>
      </c>
      <c r="B99" s="33" t="s">
        <v>26</v>
      </c>
      <c r="C99" s="33"/>
      <c r="D99" s="33"/>
      <c r="E99" s="33"/>
      <c r="F99" s="35">
        <v>5.294</v>
      </c>
      <c r="G99" s="35">
        <v>2739.0</v>
      </c>
      <c r="H99" s="35">
        <v>0.09</v>
      </c>
      <c r="I99" s="35">
        <v>2891969.0</v>
      </c>
      <c r="J99" s="35">
        <v>634280.0</v>
      </c>
      <c r="K99" s="35">
        <v>27.806</v>
      </c>
      <c r="L99" s="35">
        <v>2.053</v>
      </c>
      <c r="M99" s="35">
        <v>0.996</v>
      </c>
      <c r="N99" s="35" t="s">
        <v>81</v>
      </c>
      <c r="O99" s="35">
        <v>1.613933825161E12</v>
      </c>
      <c r="P99" s="35">
        <v>1354.0</v>
      </c>
      <c r="Q99" s="32">
        <f t="shared" si="1"/>
        <v>0.005122272727</v>
      </c>
    </row>
    <row r="100">
      <c r="A100" s="16">
        <v>7.0</v>
      </c>
      <c r="B100" s="33" t="s">
        <v>26</v>
      </c>
      <c r="C100" s="33"/>
      <c r="D100" s="33"/>
      <c r="E100" s="33"/>
      <c r="F100" s="35">
        <v>5.54</v>
      </c>
      <c r="G100" s="35">
        <v>6510.0</v>
      </c>
      <c r="H100" s="35">
        <v>0.23</v>
      </c>
      <c r="I100" s="35">
        <v>2891969.0</v>
      </c>
      <c r="J100" s="35">
        <v>160123.0</v>
      </c>
      <c r="K100" s="35">
        <v>17.204</v>
      </c>
      <c r="L100" s="35">
        <v>8.024</v>
      </c>
      <c r="M100" s="35">
        <v>1.3</v>
      </c>
      <c r="N100" s="35" t="s">
        <v>81</v>
      </c>
      <c r="O100" s="35">
        <v>1.613933825161E12</v>
      </c>
      <c r="P100" s="35">
        <v>1354.0</v>
      </c>
      <c r="Q100" s="32">
        <f t="shared" si="1"/>
        <v>0.006836363636</v>
      </c>
    </row>
    <row r="101">
      <c r="A101" s="16">
        <v>8.0</v>
      </c>
      <c r="B101" s="33" t="s">
        <v>26</v>
      </c>
      <c r="C101" s="33"/>
      <c r="D101" s="33"/>
      <c r="E101" s="33"/>
      <c r="F101" s="35">
        <v>5.559</v>
      </c>
      <c r="G101" s="35">
        <v>55.0</v>
      </c>
      <c r="H101" s="35">
        <v>0.0</v>
      </c>
      <c r="I101" s="35"/>
      <c r="J101" s="35"/>
      <c r="K101" s="35"/>
      <c r="L101" s="35"/>
      <c r="M101" s="35"/>
      <c r="N101" s="35"/>
      <c r="O101" s="35"/>
      <c r="P101" s="35"/>
      <c r="Q101" s="32">
        <f t="shared" si="1"/>
        <v>0.003902272727</v>
      </c>
    </row>
    <row r="102">
      <c r="A102" s="16">
        <v>9.0</v>
      </c>
      <c r="B102" s="33" t="s">
        <v>26</v>
      </c>
      <c r="C102" s="33" t="s">
        <v>13</v>
      </c>
      <c r="D102" s="33"/>
      <c r="E102" s="33"/>
      <c r="F102" s="35">
        <v>5.762</v>
      </c>
      <c r="G102" s="35">
        <v>42675.0</v>
      </c>
      <c r="H102" s="35">
        <v>1.48</v>
      </c>
      <c r="I102" s="35"/>
      <c r="J102" s="35"/>
      <c r="K102" s="35"/>
      <c r="L102" s="35"/>
      <c r="M102" s="35"/>
      <c r="N102" s="35"/>
      <c r="O102" s="35"/>
      <c r="P102" s="35"/>
      <c r="Q102" s="32">
        <f t="shared" si="1"/>
        <v>0.023275</v>
      </c>
    </row>
    <row r="103">
      <c r="A103" s="16">
        <v>10.0</v>
      </c>
      <c r="B103" s="33" t="s">
        <v>26</v>
      </c>
      <c r="C103" s="33" t="s">
        <v>15</v>
      </c>
      <c r="D103" s="33"/>
      <c r="E103" s="33"/>
      <c r="F103" s="35">
        <v>5.906</v>
      </c>
      <c r="G103" s="35">
        <v>2083225.0</v>
      </c>
      <c r="H103" s="35">
        <v>72.03</v>
      </c>
      <c r="I103" s="35"/>
      <c r="J103" s="35"/>
      <c r="K103" s="35"/>
      <c r="L103" s="35"/>
      <c r="M103" s="35"/>
      <c r="N103" s="35"/>
      <c r="O103" s="35"/>
      <c r="P103" s="35"/>
      <c r="Q103" s="32">
        <f t="shared" si="1"/>
        <v>0.9507977273</v>
      </c>
    </row>
    <row r="104">
      <c r="A104" s="16">
        <v>11.0</v>
      </c>
      <c r="B104" s="33" t="s">
        <v>26</v>
      </c>
      <c r="C104" s="33" t="s">
        <v>17</v>
      </c>
      <c r="D104" s="33"/>
      <c r="E104" s="33"/>
      <c r="F104" s="35">
        <v>6.453</v>
      </c>
      <c r="G104" s="35">
        <v>345186.0</v>
      </c>
      <c r="H104" s="35">
        <v>11.94</v>
      </c>
      <c r="I104" s="35"/>
      <c r="J104" s="35"/>
      <c r="K104" s="35"/>
      <c r="L104" s="35"/>
      <c r="M104" s="35"/>
      <c r="N104" s="35"/>
      <c r="O104" s="35"/>
      <c r="P104" s="35"/>
      <c r="Q104" s="32">
        <f t="shared" si="1"/>
        <v>0.16078</v>
      </c>
    </row>
    <row r="105">
      <c r="A105" s="16">
        <v>12.0</v>
      </c>
      <c r="B105" s="33" t="s">
        <v>26</v>
      </c>
      <c r="C105" s="33"/>
      <c r="D105" s="33"/>
      <c r="E105" s="33"/>
      <c r="F105" s="35">
        <v>6.587</v>
      </c>
      <c r="G105" s="35">
        <v>22600.0</v>
      </c>
      <c r="H105" s="35">
        <v>0.78</v>
      </c>
      <c r="I105" s="35"/>
      <c r="J105" s="35"/>
      <c r="K105" s="35"/>
      <c r="L105" s="35"/>
      <c r="M105" s="35"/>
      <c r="N105" s="35"/>
      <c r="O105" s="35"/>
      <c r="P105" s="35"/>
      <c r="Q105" s="32">
        <f t="shared" si="1"/>
        <v>0.01415</v>
      </c>
    </row>
    <row r="106">
      <c r="A106" s="16">
        <v>13.0</v>
      </c>
      <c r="B106" s="33" t="s">
        <v>26</v>
      </c>
      <c r="C106" s="33"/>
      <c r="D106" s="33"/>
      <c r="E106" s="33"/>
      <c r="F106" s="35">
        <v>6.669</v>
      </c>
      <c r="G106" s="35">
        <v>10905.0</v>
      </c>
      <c r="H106" s="35">
        <v>0.38</v>
      </c>
      <c r="I106" s="35"/>
      <c r="J106" s="35"/>
      <c r="K106" s="35"/>
      <c r="L106" s="35"/>
      <c r="M106" s="35"/>
      <c r="N106" s="35"/>
      <c r="O106" s="35"/>
      <c r="P106" s="35"/>
      <c r="Q106" s="32">
        <f t="shared" si="1"/>
        <v>0.008834090909</v>
      </c>
    </row>
    <row r="107">
      <c r="A107" s="16">
        <v>14.0</v>
      </c>
      <c r="B107" s="33" t="s">
        <v>26</v>
      </c>
      <c r="C107" s="33"/>
      <c r="D107" s="33"/>
      <c r="E107" s="33"/>
      <c r="F107" s="35">
        <v>7.068</v>
      </c>
      <c r="G107" s="35">
        <v>9624.0</v>
      </c>
      <c r="H107" s="35">
        <v>0.33</v>
      </c>
      <c r="I107" s="35"/>
      <c r="J107" s="35"/>
      <c r="K107" s="35"/>
      <c r="L107" s="35"/>
      <c r="M107" s="35"/>
      <c r="N107" s="35"/>
      <c r="O107" s="35"/>
      <c r="P107" s="35"/>
      <c r="Q107" s="32">
        <f t="shared" si="1"/>
        <v>0.008251818182</v>
      </c>
    </row>
    <row r="108">
      <c r="A108" s="16">
        <v>15.0</v>
      </c>
      <c r="B108" s="33" t="s">
        <v>26</v>
      </c>
      <c r="C108" s="33"/>
      <c r="D108" s="33"/>
      <c r="E108" s="33"/>
      <c r="F108" s="35">
        <v>7.171</v>
      </c>
      <c r="G108" s="35">
        <v>5729.0</v>
      </c>
      <c r="H108" s="35">
        <v>0.2</v>
      </c>
      <c r="I108" s="35"/>
      <c r="J108" s="35"/>
      <c r="K108" s="35"/>
      <c r="L108" s="35"/>
      <c r="M108" s="35"/>
      <c r="N108" s="35"/>
      <c r="O108" s="35"/>
      <c r="P108" s="35"/>
      <c r="Q108" s="32">
        <f t="shared" si="1"/>
        <v>0.006481363636</v>
      </c>
    </row>
    <row r="109">
      <c r="A109" s="16">
        <v>16.0</v>
      </c>
      <c r="B109" s="33" t="s">
        <v>26</v>
      </c>
      <c r="C109" s="33"/>
      <c r="D109" s="33"/>
      <c r="E109" s="33"/>
      <c r="F109" s="35">
        <v>7.26</v>
      </c>
      <c r="G109" s="35">
        <v>21.0</v>
      </c>
      <c r="H109" s="35">
        <v>0.0</v>
      </c>
      <c r="I109" s="35"/>
      <c r="J109" s="35"/>
      <c r="K109" s="35"/>
      <c r="L109" s="35"/>
      <c r="M109" s="35"/>
      <c r="N109" s="35"/>
      <c r="O109" s="35"/>
      <c r="P109" s="35"/>
      <c r="Q109" s="32">
        <f t="shared" si="1"/>
        <v>0.003886818182</v>
      </c>
    </row>
    <row r="110">
      <c r="A110" s="16">
        <v>17.0</v>
      </c>
      <c r="B110" s="33" t="s">
        <v>26</v>
      </c>
      <c r="C110" s="33"/>
      <c r="D110" s="33"/>
      <c r="E110" s="33"/>
      <c r="F110" s="35">
        <v>7.331</v>
      </c>
      <c r="G110" s="35">
        <v>4198.0</v>
      </c>
      <c r="H110" s="35">
        <v>0.15</v>
      </c>
      <c r="I110" s="35"/>
      <c r="J110" s="35"/>
      <c r="K110" s="35"/>
      <c r="L110" s="35"/>
      <c r="M110" s="35"/>
      <c r="N110" s="35"/>
      <c r="O110" s="35"/>
      <c r="P110" s="35"/>
      <c r="Q110" s="32">
        <f t="shared" si="1"/>
        <v>0.005785454545</v>
      </c>
    </row>
    <row r="111">
      <c r="A111" s="16">
        <v>1.0</v>
      </c>
      <c r="B111" s="33" t="s">
        <v>27</v>
      </c>
      <c r="C111" s="33" t="s">
        <v>80</v>
      </c>
      <c r="D111" s="33"/>
      <c r="E111" s="33"/>
      <c r="F111" s="35">
        <v>4.352</v>
      </c>
      <c r="G111" s="35">
        <v>2768.0</v>
      </c>
      <c r="H111" s="35">
        <v>0.1</v>
      </c>
      <c r="I111" s="35">
        <v>2785014.0</v>
      </c>
      <c r="J111" s="35">
        <v>860.0</v>
      </c>
      <c r="K111" s="35">
        <v>8.3</v>
      </c>
      <c r="L111" s="35" t="s">
        <v>81</v>
      </c>
      <c r="M111" s="35" t="s">
        <v>81</v>
      </c>
      <c r="N111" s="35">
        <v>71274.784</v>
      </c>
      <c r="O111" s="35">
        <v>1.613933825161E12</v>
      </c>
      <c r="P111" s="35">
        <v>1355.0</v>
      </c>
      <c r="Q111" s="32">
        <f t="shared" si="1"/>
        <v>0.005135454545</v>
      </c>
    </row>
    <row r="112">
      <c r="A112" s="16">
        <v>2.0</v>
      </c>
      <c r="B112" s="33" t="s">
        <v>27</v>
      </c>
      <c r="C112" s="47"/>
      <c r="D112" s="33"/>
      <c r="E112" s="33"/>
      <c r="F112" s="35">
        <v>4.508</v>
      </c>
      <c r="G112" s="35">
        <v>4874.0</v>
      </c>
      <c r="H112" s="35">
        <v>0.18</v>
      </c>
      <c r="I112" s="35">
        <v>2785014.0</v>
      </c>
      <c r="J112" s="35">
        <v>97016.0</v>
      </c>
      <c r="K112" s="35">
        <v>19.304</v>
      </c>
      <c r="L112" s="35"/>
      <c r="M112" s="35">
        <v>1.308</v>
      </c>
      <c r="N112" s="35"/>
      <c r="O112" s="41">
        <v>1.613933825161E12</v>
      </c>
      <c r="P112" s="35">
        <v>1355.0</v>
      </c>
      <c r="Q112" s="32">
        <f t="shared" si="1"/>
        <v>0.006092727273</v>
      </c>
    </row>
    <row r="113">
      <c r="A113" s="16">
        <v>3.0</v>
      </c>
      <c r="B113" s="33" t="s">
        <v>27</v>
      </c>
      <c r="C113" s="33" t="s">
        <v>10</v>
      </c>
      <c r="D113" s="33"/>
      <c r="E113" s="33"/>
      <c r="F113" s="35">
        <v>4.778</v>
      </c>
      <c r="G113" s="35">
        <v>307337.0</v>
      </c>
      <c r="H113" s="35">
        <v>11.04</v>
      </c>
      <c r="I113" s="41">
        <v>2785014.0</v>
      </c>
      <c r="J113" s="41">
        <v>3951.0</v>
      </c>
      <c r="K113" s="41">
        <v>5.651</v>
      </c>
      <c r="L113" s="35"/>
      <c r="M113" s="35"/>
      <c r="N113" s="35"/>
      <c r="O113" s="41">
        <v>1.613933825161E12</v>
      </c>
      <c r="P113" s="35">
        <v>1355.0</v>
      </c>
      <c r="Q113" s="32">
        <f t="shared" si="1"/>
        <v>0.1435759091</v>
      </c>
    </row>
    <row r="114">
      <c r="A114" s="16">
        <v>4.0</v>
      </c>
      <c r="B114" s="33" t="s">
        <v>27</v>
      </c>
      <c r="C114" s="33" t="s">
        <v>82</v>
      </c>
      <c r="D114" s="33"/>
      <c r="E114" s="33"/>
      <c r="F114" s="35">
        <v>4.953</v>
      </c>
      <c r="G114" s="35">
        <v>12962.0</v>
      </c>
      <c r="H114" s="35">
        <v>0.47</v>
      </c>
      <c r="I114" s="35">
        <v>2785014.0</v>
      </c>
      <c r="J114" s="35">
        <v>19172.0</v>
      </c>
      <c r="K114" s="35">
        <v>13.153</v>
      </c>
      <c r="L114" s="35" t="s">
        <v>81</v>
      </c>
      <c r="M114" s="35" t="s">
        <v>81</v>
      </c>
      <c r="N114" s="35" t="s">
        <v>81</v>
      </c>
      <c r="O114" s="35">
        <v>1.613933825161E12</v>
      </c>
      <c r="P114" s="35">
        <v>1355.0</v>
      </c>
      <c r="Q114" s="32">
        <f t="shared" si="1"/>
        <v>0.009769090909</v>
      </c>
    </row>
    <row r="115">
      <c r="A115" s="16">
        <v>5.0</v>
      </c>
      <c r="B115" s="33" t="s">
        <v>27</v>
      </c>
      <c r="C115" s="47"/>
      <c r="D115" s="33"/>
      <c r="E115" s="33"/>
      <c r="F115" s="35">
        <v>5.05</v>
      </c>
      <c r="G115" s="41">
        <v>5736.0</v>
      </c>
      <c r="H115" s="41">
        <v>0.21</v>
      </c>
      <c r="I115" s="35">
        <v>2785014.0</v>
      </c>
      <c r="J115" s="41">
        <v>619749.0</v>
      </c>
      <c r="K115" s="41">
        <v>27.406</v>
      </c>
      <c r="L115" s="41">
        <v>2.06</v>
      </c>
      <c r="M115" s="41">
        <v>0.998</v>
      </c>
      <c r="N115" s="35"/>
      <c r="O115" s="41">
        <v>1.613933825161E12</v>
      </c>
      <c r="P115" s="35">
        <v>1355.0</v>
      </c>
      <c r="Q115" s="32">
        <f t="shared" si="1"/>
        <v>0.006484545455</v>
      </c>
    </row>
    <row r="116">
      <c r="A116" s="16">
        <v>6.0</v>
      </c>
      <c r="B116" s="33" t="s">
        <v>27</v>
      </c>
      <c r="C116" s="47"/>
      <c r="D116" s="33"/>
      <c r="E116" s="33"/>
      <c r="F116" s="35">
        <v>5.54</v>
      </c>
      <c r="G116" s="41">
        <v>9269.0</v>
      </c>
      <c r="H116" s="41">
        <v>0.33</v>
      </c>
      <c r="I116" s="35">
        <v>2785014.0</v>
      </c>
      <c r="J116" s="41">
        <v>157447.0</v>
      </c>
      <c r="K116" s="41">
        <v>17.504</v>
      </c>
      <c r="L116" s="41">
        <v>8.129</v>
      </c>
      <c r="M116" s="41">
        <v>1.309</v>
      </c>
      <c r="N116" s="35"/>
      <c r="O116" s="41">
        <v>1.613933825161E12</v>
      </c>
      <c r="P116" s="35">
        <v>1355.0</v>
      </c>
      <c r="Q116" s="32">
        <f t="shared" si="1"/>
        <v>0.008090454545</v>
      </c>
    </row>
    <row r="117">
      <c r="A117" s="16">
        <v>7.0</v>
      </c>
      <c r="B117" s="33" t="s">
        <v>27</v>
      </c>
      <c r="C117" s="47"/>
      <c r="D117" s="33"/>
      <c r="E117" s="33"/>
      <c r="F117" s="35">
        <v>5.559</v>
      </c>
      <c r="G117" s="35">
        <v>55.0</v>
      </c>
      <c r="H117" s="35">
        <v>0.0</v>
      </c>
      <c r="I117" s="35"/>
      <c r="J117" s="35"/>
      <c r="K117" s="35"/>
      <c r="L117" s="35"/>
      <c r="M117" s="35"/>
      <c r="N117" s="35"/>
      <c r="O117" s="35"/>
      <c r="P117" s="35"/>
      <c r="Q117" s="32">
        <f t="shared" si="1"/>
        <v>0.003902272727</v>
      </c>
    </row>
    <row r="118">
      <c r="A118" s="16">
        <v>8.0</v>
      </c>
      <c r="B118" s="33" t="s">
        <v>27</v>
      </c>
      <c r="C118" s="33" t="s">
        <v>13</v>
      </c>
      <c r="D118" s="33"/>
      <c r="E118" s="33"/>
      <c r="F118" s="35">
        <v>5.763</v>
      </c>
      <c r="G118" s="35">
        <v>40446.0</v>
      </c>
      <c r="H118" s="35">
        <v>1.45</v>
      </c>
      <c r="I118" s="35"/>
      <c r="J118" s="35"/>
      <c r="K118" s="35"/>
      <c r="L118" s="35"/>
      <c r="M118" s="35"/>
      <c r="N118" s="35"/>
      <c r="O118" s="35"/>
      <c r="P118" s="35"/>
      <c r="Q118" s="32">
        <f t="shared" si="1"/>
        <v>0.02226181818</v>
      </c>
    </row>
    <row r="119">
      <c r="A119" s="16">
        <v>9.0</v>
      </c>
      <c r="B119" s="33" t="s">
        <v>27</v>
      </c>
      <c r="C119" s="33" t="s">
        <v>15</v>
      </c>
      <c r="D119" s="33"/>
      <c r="E119" s="33"/>
      <c r="F119" s="35">
        <v>5.906</v>
      </c>
      <c r="G119" s="35">
        <v>2011342.0</v>
      </c>
      <c r="H119" s="35">
        <v>72.22</v>
      </c>
      <c r="I119" s="35"/>
      <c r="J119" s="35"/>
      <c r="K119" s="35"/>
      <c r="L119" s="35"/>
      <c r="M119" s="35"/>
      <c r="N119" s="35"/>
      <c r="O119" s="35"/>
      <c r="P119" s="35"/>
      <c r="Q119" s="32">
        <f t="shared" si="1"/>
        <v>0.9181236364</v>
      </c>
    </row>
    <row r="120">
      <c r="A120" s="16">
        <v>10.0</v>
      </c>
      <c r="B120" s="33" t="s">
        <v>27</v>
      </c>
      <c r="C120" s="33" t="s">
        <v>17</v>
      </c>
      <c r="D120" s="33"/>
      <c r="E120" s="33"/>
      <c r="F120" s="35">
        <v>6.454</v>
      </c>
      <c r="G120" s="35">
        <v>337080.0</v>
      </c>
      <c r="H120" s="35">
        <v>12.1</v>
      </c>
      <c r="I120" s="35"/>
      <c r="J120" s="35"/>
      <c r="K120" s="35"/>
      <c r="L120" s="35"/>
      <c r="M120" s="35"/>
      <c r="N120" s="35"/>
      <c r="O120" s="35"/>
      <c r="P120" s="35"/>
      <c r="Q120" s="32">
        <f t="shared" si="1"/>
        <v>0.1570954545</v>
      </c>
    </row>
    <row r="121">
      <c r="A121" s="16">
        <v>11.0</v>
      </c>
      <c r="B121" s="33" t="s">
        <v>27</v>
      </c>
      <c r="C121" s="33"/>
      <c r="D121" s="33"/>
      <c r="E121" s="33"/>
      <c r="F121" s="35">
        <v>6.589</v>
      </c>
      <c r="G121" s="35">
        <v>22874.0</v>
      </c>
      <c r="H121" s="35">
        <v>0.82</v>
      </c>
      <c r="I121" s="35"/>
      <c r="J121" s="35"/>
      <c r="K121" s="35"/>
      <c r="L121" s="35"/>
      <c r="M121" s="35"/>
      <c r="N121" s="35"/>
      <c r="O121" s="35"/>
      <c r="P121" s="35"/>
      <c r="Q121" s="32">
        <f t="shared" si="1"/>
        <v>0.01427454545</v>
      </c>
    </row>
    <row r="122">
      <c r="A122" s="16">
        <v>12.0</v>
      </c>
      <c r="B122" s="33" t="s">
        <v>27</v>
      </c>
      <c r="C122" s="33"/>
      <c r="D122" s="33"/>
      <c r="E122" s="33"/>
      <c r="F122" s="35">
        <v>6.67</v>
      </c>
      <c r="G122" s="35">
        <v>10670.0</v>
      </c>
      <c r="H122" s="35">
        <v>0.38</v>
      </c>
      <c r="I122" s="35"/>
      <c r="J122" s="35"/>
      <c r="K122" s="35"/>
      <c r="L122" s="35"/>
      <c r="M122" s="35"/>
      <c r="N122" s="35"/>
      <c r="O122" s="35"/>
      <c r="P122" s="35"/>
      <c r="Q122" s="32">
        <f t="shared" si="1"/>
        <v>0.008727272727</v>
      </c>
    </row>
    <row r="123">
      <c r="A123" s="16">
        <v>13.0</v>
      </c>
      <c r="B123" s="33" t="s">
        <v>27</v>
      </c>
      <c r="C123" s="33"/>
      <c r="D123" s="33"/>
      <c r="E123" s="33"/>
      <c r="F123" s="35">
        <v>7.068</v>
      </c>
      <c r="G123" s="35">
        <v>9612.0</v>
      </c>
      <c r="H123" s="35">
        <v>0.35</v>
      </c>
      <c r="I123" s="35"/>
      <c r="J123" s="35"/>
      <c r="K123" s="35"/>
      <c r="L123" s="35"/>
      <c r="M123" s="35"/>
      <c r="N123" s="35"/>
      <c r="O123" s="35"/>
      <c r="P123" s="35"/>
      <c r="Q123" s="32">
        <f t="shared" si="1"/>
        <v>0.008246363636</v>
      </c>
    </row>
    <row r="124">
      <c r="A124" s="16">
        <v>14.0</v>
      </c>
      <c r="B124" s="33" t="s">
        <v>27</v>
      </c>
      <c r="C124" s="33"/>
      <c r="D124" s="33"/>
      <c r="E124" s="33"/>
      <c r="F124" s="35">
        <v>7.171</v>
      </c>
      <c r="G124" s="35">
        <v>5583.0</v>
      </c>
      <c r="H124" s="35">
        <v>0.2</v>
      </c>
      <c r="I124" s="35"/>
      <c r="J124" s="35"/>
      <c r="K124" s="35"/>
      <c r="L124" s="35"/>
      <c r="M124" s="35"/>
      <c r="N124" s="35"/>
      <c r="O124" s="35"/>
      <c r="P124" s="35"/>
      <c r="Q124" s="32">
        <f t="shared" si="1"/>
        <v>0.006415</v>
      </c>
    </row>
    <row r="125">
      <c r="A125" s="16">
        <v>15.0</v>
      </c>
      <c r="B125" s="33" t="s">
        <v>27</v>
      </c>
      <c r="C125" s="33"/>
      <c r="D125" s="33"/>
      <c r="E125" s="33"/>
      <c r="F125" s="35">
        <v>7.26</v>
      </c>
      <c r="G125" s="35">
        <v>20.0</v>
      </c>
      <c r="H125" s="35">
        <v>0.0</v>
      </c>
      <c r="I125" s="35"/>
      <c r="J125" s="35"/>
      <c r="K125" s="35"/>
      <c r="L125" s="35"/>
      <c r="M125" s="35"/>
      <c r="N125" s="35"/>
      <c r="O125" s="35"/>
      <c r="P125" s="35"/>
      <c r="Q125" s="32">
        <f t="shared" si="1"/>
        <v>0.003886363636</v>
      </c>
    </row>
    <row r="126">
      <c r="A126" s="16">
        <v>16.0</v>
      </c>
      <c r="B126" s="33" t="s">
        <v>27</v>
      </c>
      <c r="C126" s="33"/>
      <c r="D126" s="33"/>
      <c r="E126" s="33"/>
      <c r="F126" s="35">
        <v>7.331</v>
      </c>
      <c r="G126" s="35">
        <v>4386.0</v>
      </c>
      <c r="H126" s="35">
        <v>0.16</v>
      </c>
      <c r="I126" s="35"/>
      <c r="J126" s="35"/>
      <c r="K126" s="35"/>
      <c r="L126" s="35"/>
      <c r="M126" s="35"/>
      <c r="N126" s="35"/>
      <c r="O126" s="35"/>
      <c r="P126" s="35"/>
      <c r="Q126" s="32">
        <f t="shared" si="1"/>
        <v>0.005870909091</v>
      </c>
    </row>
    <row r="127">
      <c r="A127" s="16">
        <v>1.0</v>
      </c>
      <c r="B127" s="33" t="s">
        <v>28</v>
      </c>
      <c r="C127" s="33" t="s">
        <v>83</v>
      </c>
      <c r="D127" s="33"/>
      <c r="E127" s="33"/>
      <c r="F127" s="35">
        <v>4.351</v>
      </c>
      <c r="G127" s="35">
        <v>2602.0</v>
      </c>
      <c r="H127" s="35">
        <v>0.09</v>
      </c>
      <c r="I127" s="35"/>
      <c r="J127" s="35"/>
      <c r="K127" s="35"/>
      <c r="L127" s="35"/>
      <c r="M127" s="35"/>
      <c r="N127" s="35"/>
      <c r="O127" s="35"/>
      <c r="P127" s="35"/>
      <c r="Q127" s="32">
        <f t="shared" si="1"/>
        <v>0.00506</v>
      </c>
    </row>
    <row r="128">
      <c r="A128" s="16">
        <v>2.0</v>
      </c>
      <c r="B128" s="33" t="s">
        <v>28</v>
      </c>
      <c r="C128" s="33"/>
      <c r="D128" s="33"/>
      <c r="E128" s="33"/>
      <c r="F128" s="35">
        <v>4.508</v>
      </c>
      <c r="G128" s="35">
        <v>5860.0</v>
      </c>
      <c r="H128" s="35">
        <v>0.2</v>
      </c>
      <c r="I128" s="35"/>
      <c r="J128" s="35"/>
      <c r="K128" s="35"/>
      <c r="L128" s="35"/>
      <c r="M128" s="35"/>
      <c r="N128" s="35"/>
      <c r="O128" s="35"/>
      <c r="P128" s="35"/>
      <c r="Q128" s="32">
        <f t="shared" si="1"/>
        <v>0.006540909091</v>
      </c>
    </row>
    <row r="129">
      <c r="A129" s="16">
        <v>3.0</v>
      </c>
      <c r="B129" s="33" t="s">
        <v>28</v>
      </c>
      <c r="C129" s="33" t="s">
        <v>10</v>
      </c>
      <c r="D129" s="33"/>
      <c r="E129" s="33"/>
      <c r="F129" s="35">
        <v>4.773</v>
      </c>
      <c r="G129" s="35">
        <v>328962.0</v>
      </c>
      <c r="H129" s="35">
        <v>10.98</v>
      </c>
      <c r="I129" s="35"/>
      <c r="J129" s="35"/>
      <c r="K129" s="35"/>
      <c r="L129" s="35"/>
      <c r="M129" s="35"/>
      <c r="N129" s="35"/>
      <c r="O129" s="35"/>
      <c r="P129" s="35"/>
      <c r="Q129" s="32">
        <f t="shared" si="1"/>
        <v>0.1534054545</v>
      </c>
    </row>
    <row r="130">
      <c r="A130" s="16">
        <v>4.0</v>
      </c>
      <c r="B130" s="33" t="s">
        <v>28</v>
      </c>
      <c r="C130" s="33" t="s">
        <v>82</v>
      </c>
      <c r="D130" s="33"/>
      <c r="E130" s="33"/>
      <c r="F130" s="35">
        <v>4.949</v>
      </c>
      <c r="G130" s="35">
        <v>16856.0</v>
      </c>
      <c r="H130" s="35">
        <v>0.56</v>
      </c>
      <c r="I130" s="35"/>
      <c r="J130" s="35"/>
      <c r="K130" s="35"/>
      <c r="L130" s="35"/>
      <c r="M130" s="35"/>
      <c r="N130" s="35"/>
      <c r="O130" s="35"/>
      <c r="P130" s="35"/>
      <c r="Q130" s="32">
        <f t="shared" si="1"/>
        <v>0.01153909091</v>
      </c>
    </row>
    <row r="131">
      <c r="A131" s="16">
        <v>5.0</v>
      </c>
      <c r="B131" s="33" t="s">
        <v>28</v>
      </c>
      <c r="C131" s="33"/>
      <c r="D131" s="33"/>
      <c r="E131" s="33"/>
      <c r="F131" s="35">
        <v>5.046</v>
      </c>
      <c r="G131" s="35">
        <v>6470.0</v>
      </c>
      <c r="H131" s="35">
        <v>0.22</v>
      </c>
      <c r="I131" s="35"/>
      <c r="J131" s="35"/>
      <c r="K131" s="35"/>
      <c r="L131" s="35"/>
      <c r="M131" s="35"/>
      <c r="N131" s="35"/>
      <c r="O131" s="35"/>
      <c r="P131" s="35"/>
      <c r="Q131" s="32">
        <f t="shared" si="1"/>
        <v>0.006818181818</v>
      </c>
    </row>
    <row r="132">
      <c r="A132" s="16">
        <v>6.0</v>
      </c>
      <c r="B132" s="33" t="s">
        <v>28</v>
      </c>
      <c r="C132" s="33"/>
      <c r="D132" s="33"/>
      <c r="E132" s="33"/>
      <c r="F132" s="35">
        <v>5.539</v>
      </c>
      <c r="G132" s="35">
        <v>11555.0</v>
      </c>
      <c r="H132" s="35">
        <v>0.39</v>
      </c>
      <c r="I132" s="35"/>
      <c r="J132" s="35"/>
      <c r="K132" s="35"/>
      <c r="L132" s="35"/>
      <c r="M132" s="35"/>
      <c r="N132" s="35"/>
      <c r="O132" s="35"/>
      <c r="P132" s="35"/>
      <c r="Q132" s="32">
        <f t="shared" si="1"/>
        <v>0.009129545455</v>
      </c>
    </row>
    <row r="133">
      <c r="A133" s="16">
        <v>7.0</v>
      </c>
      <c r="B133" s="33" t="s">
        <v>28</v>
      </c>
      <c r="C133" s="33"/>
      <c r="D133" s="33"/>
      <c r="E133" s="33"/>
      <c r="F133" s="35">
        <v>5.559</v>
      </c>
      <c r="G133" s="35">
        <v>48.0</v>
      </c>
      <c r="H133" s="35">
        <v>0.0</v>
      </c>
      <c r="I133" s="35"/>
      <c r="J133" s="35"/>
      <c r="K133" s="35"/>
      <c r="L133" s="35"/>
      <c r="M133" s="35"/>
      <c r="N133" s="35"/>
      <c r="O133" s="35"/>
      <c r="P133" s="35"/>
      <c r="Q133" s="32">
        <f t="shared" si="1"/>
        <v>0.003899090909</v>
      </c>
    </row>
    <row r="134">
      <c r="A134" s="16">
        <v>8.0</v>
      </c>
      <c r="B134" s="33" t="s">
        <v>28</v>
      </c>
      <c r="C134" s="33" t="s">
        <v>13</v>
      </c>
      <c r="D134" s="33"/>
      <c r="E134" s="33"/>
      <c r="F134" s="35">
        <v>5.762</v>
      </c>
      <c r="G134" s="35">
        <v>42599.0</v>
      </c>
      <c r="H134" s="35">
        <v>1.42</v>
      </c>
      <c r="I134" s="35"/>
      <c r="J134" s="35"/>
      <c r="K134" s="35"/>
      <c r="L134" s="35"/>
      <c r="M134" s="35"/>
      <c r="N134" s="35"/>
      <c r="O134" s="35"/>
      <c r="P134" s="35"/>
      <c r="Q134" s="32">
        <f t="shared" si="1"/>
        <v>0.02324045455</v>
      </c>
    </row>
    <row r="135">
      <c r="A135" s="16">
        <v>9.0</v>
      </c>
      <c r="B135" s="33" t="s">
        <v>28</v>
      </c>
      <c r="C135" s="33" t="s">
        <v>15</v>
      </c>
      <c r="D135" s="33"/>
      <c r="E135" s="33"/>
      <c r="F135" s="35">
        <v>5.906</v>
      </c>
      <c r="G135" s="35">
        <v>2168654.0</v>
      </c>
      <c r="H135" s="35">
        <v>72.39</v>
      </c>
      <c r="I135" s="35"/>
      <c r="J135" s="35"/>
      <c r="K135" s="35"/>
      <c r="L135" s="35"/>
      <c r="M135" s="35"/>
      <c r="N135" s="35"/>
      <c r="O135" s="35"/>
      <c r="P135" s="35"/>
      <c r="Q135" s="32">
        <f t="shared" si="1"/>
        <v>0.9896290909</v>
      </c>
    </row>
    <row r="136">
      <c r="A136" s="16">
        <v>10.0</v>
      </c>
      <c r="B136" s="33" t="s">
        <v>28</v>
      </c>
      <c r="C136" s="33" t="s">
        <v>17</v>
      </c>
      <c r="D136" s="33"/>
      <c r="E136" s="33"/>
      <c r="F136" s="35">
        <v>6.452</v>
      </c>
      <c r="G136" s="35">
        <v>361467.0</v>
      </c>
      <c r="H136" s="35">
        <v>12.07</v>
      </c>
      <c r="I136" s="35"/>
      <c r="J136" s="35"/>
      <c r="K136" s="35"/>
      <c r="L136" s="35"/>
      <c r="M136" s="35"/>
      <c r="N136" s="35"/>
      <c r="O136" s="35"/>
      <c r="P136" s="35"/>
      <c r="Q136" s="32">
        <f t="shared" si="1"/>
        <v>0.1681804545</v>
      </c>
    </row>
    <row r="137">
      <c r="A137" s="16">
        <v>11.0</v>
      </c>
      <c r="B137" s="33" t="s">
        <v>28</v>
      </c>
      <c r="C137" s="33"/>
      <c r="D137" s="33"/>
      <c r="E137" s="33"/>
      <c r="F137" s="35">
        <v>6.585</v>
      </c>
      <c r="G137" s="35">
        <v>23804.0</v>
      </c>
      <c r="H137" s="35">
        <v>0.79</v>
      </c>
      <c r="I137" s="35">
        <v>2995617.0</v>
      </c>
      <c r="J137" s="35">
        <v>860.0</v>
      </c>
      <c r="K137" s="35">
        <v>8.4</v>
      </c>
      <c r="L137" s="35" t="s">
        <v>81</v>
      </c>
      <c r="M137" s="35" t="s">
        <v>81</v>
      </c>
      <c r="N137" s="35">
        <v>68840.098</v>
      </c>
      <c r="O137" s="35">
        <v>1.613933825161E12</v>
      </c>
      <c r="P137" s="35">
        <v>1356.0</v>
      </c>
      <c r="Q137" s="32">
        <f t="shared" si="1"/>
        <v>0.01469727273</v>
      </c>
    </row>
    <row r="138">
      <c r="A138" s="16">
        <v>12.0</v>
      </c>
      <c r="B138" s="33" t="s">
        <v>28</v>
      </c>
      <c r="C138" s="33"/>
      <c r="D138" s="33"/>
      <c r="E138" s="33"/>
      <c r="F138" s="35">
        <v>6.668</v>
      </c>
      <c r="G138" s="41">
        <v>10873.0</v>
      </c>
      <c r="H138" s="41">
        <v>0.36</v>
      </c>
      <c r="I138" s="49"/>
      <c r="J138" s="49"/>
      <c r="K138" s="49"/>
      <c r="L138" s="49"/>
      <c r="M138" s="49"/>
      <c r="N138" s="49"/>
      <c r="O138" s="49"/>
      <c r="P138" s="49"/>
      <c r="Q138" s="32">
        <f t="shared" si="1"/>
        <v>0.008819545455</v>
      </c>
    </row>
    <row r="139">
      <c r="A139" s="16">
        <v>13.0</v>
      </c>
      <c r="B139" s="33" t="s">
        <v>28</v>
      </c>
      <c r="C139" s="33"/>
      <c r="D139" s="33"/>
      <c r="E139" s="33"/>
      <c r="F139" s="35">
        <v>7.066</v>
      </c>
      <c r="G139" s="35">
        <v>6814.0</v>
      </c>
      <c r="H139" s="35">
        <v>0.23</v>
      </c>
      <c r="I139" s="35"/>
      <c r="J139" s="35"/>
      <c r="K139" s="35"/>
      <c r="L139" s="35"/>
      <c r="M139" s="35"/>
      <c r="N139" s="35"/>
      <c r="O139" s="35"/>
      <c r="P139" s="35"/>
      <c r="Q139" s="32">
        <f t="shared" si="1"/>
        <v>0.006974545455</v>
      </c>
    </row>
    <row r="140">
      <c r="A140" s="16">
        <v>14.0</v>
      </c>
      <c r="B140" s="33" t="s">
        <v>28</v>
      </c>
      <c r="C140" s="33"/>
      <c r="D140" s="33"/>
      <c r="E140" s="33"/>
      <c r="F140" s="35">
        <v>7.168</v>
      </c>
      <c r="G140" s="35">
        <v>4369.0</v>
      </c>
      <c r="H140" s="35">
        <v>0.15</v>
      </c>
      <c r="I140" s="35">
        <v>2995617.0</v>
      </c>
      <c r="J140" s="35">
        <v>20175.0</v>
      </c>
      <c r="K140" s="35">
        <v>13.003</v>
      </c>
      <c r="L140" s="35" t="s">
        <v>81</v>
      </c>
      <c r="M140" s="35" t="s">
        <v>81</v>
      </c>
      <c r="N140" s="35" t="s">
        <v>81</v>
      </c>
      <c r="O140" s="35">
        <v>1.613933825161E12</v>
      </c>
      <c r="P140" s="35">
        <v>1356.0</v>
      </c>
      <c r="Q140" s="32">
        <f t="shared" si="1"/>
        <v>0.005863181818</v>
      </c>
    </row>
    <row r="141">
      <c r="A141" s="16">
        <v>15.0</v>
      </c>
      <c r="B141" s="33" t="s">
        <v>28</v>
      </c>
      <c r="C141" s="33"/>
      <c r="D141" s="33"/>
      <c r="E141" s="33"/>
      <c r="F141" s="35">
        <v>7.264</v>
      </c>
      <c r="G141" s="35">
        <v>3.0</v>
      </c>
      <c r="H141" s="35">
        <v>0.0</v>
      </c>
      <c r="I141" s="35"/>
      <c r="J141" s="35"/>
      <c r="K141" s="35"/>
      <c r="L141" s="35"/>
      <c r="M141" s="35"/>
      <c r="N141" s="35"/>
      <c r="O141" s="35"/>
      <c r="P141" s="35"/>
      <c r="Q141" s="32">
        <f t="shared" si="1"/>
        <v>0.003878636364</v>
      </c>
    </row>
    <row r="142">
      <c r="A142" s="16">
        <v>16.0</v>
      </c>
      <c r="B142" s="33" t="s">
        <v>28</v>
      </c>
      <c r="C142" s="33"/>
      <c r="D142" s="33"/>
      <c r="E142" s="33"/>
      <c r="F142" s="35">
        <v>7.416</v>
      </c>
      <c r="G142" s="35">
        <v>4681.0</v>
      </c>
      <c r="H142" s="35">
        <v>0.16</v>
      </c>
      <c r="I142" s="35"/>
      <c r="J142" s="35"/>
      <c r="K142" s="35"/>
      <c r="L142" s="35"/>
      <c r="M142" s="35"/>
      <c r="N142" s="35"/>
      <c r="O142" s="35"/>
      <c r="P142" s="35"/>
      <c r="Q142" s="32">
        <f t="shared" si="1"/>
        <v>0.006005</v>
      </c>
    </row>
    <row r="143">
      <c r="A143" s="16">
        <v>1.0</v>
      </c>
      <c r="B143" s="33" t="s">
        <v>29</v>
      </c>
      <c r="C143" s="33" t="s">
        <v>80</v>
      </c>
      <c r="D143" s="33"/>
      <c r="E143" s="33"/>
      <c r="F143" s="35">
        <v>4.348</v>
      </c>
      <c r="G143" s="35">
        <v>3225.0</v>
      </c>
      <c r="H143" s="35">
        <v>0.1</v>
      </c>
      <c r="I143" s="35">
        <v>3313210.0</v>
      </c>
      <c r="J143" s="35">
        <v>950.0</v>
      </c>
      <c r="K143" s="35">
        <v>8.5</v>
      </c>
      <c r="L143" s="35" t="s">
        <v>81</v>
      </c>
      <c r="M143" s="35" t="s">
        <v>81</v>
      </c>
      <c r="N143" s="35">
        <v>69948.215</v>
      </c>
      <c r="O143" s="35">
        <v>1.613933825161E12</v>
      </c>
      <c r="P143" s="35">
        <v>1357.0</v>
      </c>
      <c r="Q143" s="32">
        <f t="shared" si="1"/>
        <v>0.005343181818</v>
      </c>
    </row>
    <row r="144">
      <c r="A144" s="16">
        <v>2.0</v>
      </c>
      <c r="B144" s="33" t="s">
        <v>29</v>
      </c>
      <c r="C144" s="41"/>
      <c r="D144" s="41"/>
      <c r="E144" s="41"/>
      <c r="F144" s="35">
        <v>4.505</v>
      </c>
      <c r="G144" s="41">
        <v>5503.0</v>
      </c>
      <c r="H144" s="41">
        <v>0.17</v>
      </c>
      <c r="I144" s="49"/>
      <c r="J144" s="49"/>
      <c r="K144" s="49"/>
      <c r="L144" s="49"/>
      <c r="M144" s="49"/>
      <c r="N144" s="49"/>
      <c r="O144" s="49"/>
      <c r="P144" s="49"/>
      <c r="Q144" s="32">
        <f t="shared" si="1"/>
        <v>0.006378636364</v>
      </c>
    </row>
    <row r="145">
      <c r="A145" s="16">
        <v>3.0</v>
      </c>
      <c r="B145" s="33" t="s">
        <v>29</v>
      </c>
      <c r="C145" s="41" t="s">
        <v>10</v>
      </c>
      <c r="D145" s="41"/>
      <c r="E145" s="41"/>
      <c r="F145" s="35">
        <v>4.773</v>
      </c>
      <c r="G145" s="41">
        <v>353408.0</v>
      </c>
      <c r="H145" s="41">
        <v>10.67</v>
      </c>
      <c r="I145" s="49"/>
      <c r="J145" s="49"/>
      <c r="K145" s="49"/>
      <c r="L145" s="49"/>
      <c r="M145" s="49"/>
      <c r="N145" s="49"/>
      <c r="O145" s="49"/>
      <c r="P145" s="49"/>
      <c r="Q145" s="32">
        <f t="shared" si="1"/>
        <v>0.1645172727</v>
      </c>
    </row>
    <row r="146">
      <c r="A146" s="16">
        <v>4.0</v>
      </c>
      <c r="B146" s="33" t="s">
        <v>29</v>
      </c>
      <c r="C146" s="33" t="s">
        <v>82</v>
      </c>
      <c r="D146" s="33"/>
      <c r="E146" s="33"/>
      <c r="F146" s="35">
        <v>4.95</v>
      </c>
      <c r="G146" s="35">
        <v>18266.0</v>
      </c>
      <c r="H146" s="35">
        <v>0.55</v>
      </c>
      <c r="I146" s="35">
        <v>3313210.0</v>
      </c>
      <c r="J146" s="35">
        <v>22214.0</v>
      </c>
      <c r="K146" s="35">
        <v>12.953</v>
      </c>
      <c r="L146" s="35" t="s">
        <v>81</v>
      </c>
      <c r="M146" s="35" t="s">
        <v>81</v>
      </c>
      <c r="N146" s="35" t="s">
        <v>81</v>
      </c>
      <c r="O146" s="35">
        <v>1.613933825161E12</v>
      </c>
      <c r="P146" s="35">
        <v>1357.0</v>
      </c>
      <c r="Q146" s="32">
        <f t="shared" si="1"/>
        <v>0.01218</v>
      </c>
    </row>
    <row r="147">
      <c r="A147" s="16">
        <v>5.0</v>
      </c>
      <c r="B147" s="33" t="s">
        <v>29</v>
      </c>
      <c r="C147" s="41"/>
      <c r="D147" s="41"/>
      <c r="E147" s="41"/>
      <c r="F147" s="35">
        <v>5.045</v>
      </c>
      <c r="G147" s="41">
        <v>6863.0</v>
      </c>
      <c r="H147" s="41">
        <v>0.21</v>
      </c>
      <c r="I147" s="49"/>
      <c r="J147" s="49"/>
      <c r="K147" s="49"/>
      <c r="L147" s="49"/>
      <c r="M147" s="49"/>
      <c r="N147" s="49"/>
      <c r="O147" s="49"/>
      <c r="P147" s="49"/>
      <c r="Q147" s="32">
        <f t="shared" si="1"/>
        <v>0.006996818182</v>
      </c>
    </row>
    <row r="148">
      <c r="A148" s="16">
        <v>6.0</v>
      </c>
      <c r="B148" s="33" t="s">
        <v>29</v>
      </c>
      <c r="C148" s="41"/>
      <c r="D148" s="41"/>
      <c r="E148" s="41"/>
      <c r="F148" s="35">
        <v>5.538</v>
      </c>
      <c r="G148" s="41">
        <v>12001.0</v>
      </c>
      <c r="H148" s="41">
        <v>0.36</v>
      </c>
      <c r="I148" s="49"/>
      <c r="J148" s="49"/>
      <c r="K148" s="49"/>
      <c r="L148" s="49"/>
      <c r="M148" s="49"/>
      <c r="N148" s="49"/>
      <c r="O148" s="49"/>
      <c r="P148" s="49"/>
      <c r="Q148" s="32">
        <f t="shared" si="1"/>
        <v>0.009332272727</v>
      </c>
    </row>
    <row r="149">
      <c r="A149" s="16">
        <v>7.0</v>
      </c>
      <c r="B149" s="33" t="s">
        <v>29</v>
      </c>
      <c r="C149" s="33"/>
      <c r="D149" s="33"/>
      <c r="E149" s="33"/>
      <c r="F149" s="35">
        <v>5.559</v>
      </c>
      <c r="G149" s="35">
        <v>45.0</v>
      </c>
      <c r="H149" s="35">
        <v>0.0</v>
      </c>
      <c r="I149" s="35"/>
      <c r="J149" s="35"/>
      <c r="K149" s="35"/>
      <c r="L149" s="35"/>
      <c r="M149" s="35"/>
      <c r="N149" s="35"/>
      <c r="O149" s="35"/>
      <c r="P149" s="35"/>
      <c r="Q149" s="32">
        <f t="shared" si="1"/>
        <v>0.003897727273</v>
      </c>
    </row>
    <row r="150">
      <c r="A150" s="16">
        <v>8.0</v>
      </c>
      <c r="B150" s="33" t="s">
        <v>29</v>
      </c>
      <c r="C150" s="33" t="s">
        <v>13</v>
      </c>
      <c r="D150" s="33"/>
      <c r="E150" s="33"/>
      <c r="F150" s="35">
        <v>5.76</v>
      </c>
      <c r="G150" s="35">
        <v>47120.0</v>
      </c>
      <c r="H150" s="35">
        <v>1.42</v>
      </c>
      <c r="I150" s="35"/>
      <c r="J150" s="35"/>
      <c r="K150" s="35"/>
      <c r="L150" s="35"/>
      <c r="M150" s="35"/>
      <c r="N150" s="35"/>
      <c r="O150" s="35"/>
      <c r="P150" s="35"/>
      <c r="Q150" s="32">
        <f t="shared" si="1"/>
        <v>0.02529545455</v>
      </c>
    </row>
    <row r="151">
      <c r="A151" s="16">
        <v>9.0</v>
      </c>
      <c r="B151" s="33" t="s">
        <v>29</v>
      </c>
      <c r="C151" s="33" t="s">
        <v>15</v>
      </c>
      <c r="D151" s="33"/>
      <c r="E151" s="33"/>
      <c r="F151" s="35">
        <v>5.907</v>
      </c>
      <c r="G151" s="35">
        <v>2398355.0</v>
      </c>
      <c r="H151" s="35">
        <v>72.39</v>
      </c>
      <c r="I151" s="35"/>
      <c r="J151" s="35"/>
      <c r="K151" s="35"/>
      <c r="L151" s="35"/>
      <c r="M151" s="35"/>
      <c r="N151" s="35"/>
      <c r="O151" s="35"/>
      <c r="P151" s="35"/>
      <c r="Q151" s="32">
        <f t="shared" si="1"/>
        <v>1.094038636</v>
      </c>
    </row>
    <row r="152">
      <c r="A152" s="16">
        <v>10.0</v>
      </c>
      <c r="B152" s="33" t="s">
        <v>29</v>
      </c>
      <c r="C152" s="33"/>
      <c r="D152" s="33"/>
      <c r="E152" s="33"/>
      <c r="F152" s="35">
        <v>6.288</v>
      </c>
      <c r="G152" s="35">
        <v>3824.0</v>
      </c>
      <c r="H152" s="35">
        <v>0.12</v>
      </c>
      <c r="I152" s="35"/>
      <c r="J152" s="35"/>
      <c r="K152" s="35"/>
      <c r="L152" s="35"/>
      <c r="M152" s="35"/>
      <c r="N152" s="35"/>
      <c r="O152" s="35"/>
      <c r="P152" s="35"/>
      <c r="Q152" s="32">
        <f t="shared" si="1"/>
        <v>0.005615454545</v>
      </c>
    </row>
    <row r="153">
      <c r="A153" s="16">
        <v>11.0</v>
      </c>
      <c r="B153" s="33" t="s">
        <v>29</v>
      </c>
      <c r="C153" s="33" t="s">
        <v>17</v>
      </c>
      <c r="D153" s="33"/>
      <c r="E153" s="33"/>
      <c r="F153" s="35">
        <v>6.453</v>
      </c>
      <c r="G153" s="35">
        <v>405086.0</v>
      </c>
      <c r="H153" s="35">
        <v>12.23</v>
      </c>
      <c r="I153" s="35"/>
      <c r="J153" s="35"/>
      <c r="K153" s="35"/>
      <c r="L153" s="35"/>
      <c r="M153" s="35"/>
      <c r="N153" s="35"/>
      <c r="O153" s="35"/>
      <c r="P153" s="35"/>
      <c r="Q153" s="32">
        <f t="shared" si="1"/>
        <v>0.1880072727</v>
      </c>
    </row>
    <row r="154">
      <c r="A154" s="16">
        <v>12.0</v>
      </c>
      <c r="B154" s="33" t="s">
        <v>29</v>
      </c>
      <c r="C154" s="33"/>
      <c r="D154" s="33"/>
      <c r="E154" s="33"/>
      <c r="F154" s="35">
        <v>6.585</v>
      </c>
      <c r="G154" s="35">
        <v>28088.0</v>
      </c>
      <c r="H154" s="35">
        <v>0.85</v>
      </c>
      <c r="I154" s="35"/>
      <c r="J154" s="35"/>
      <c r="K154" s="35"/>
      <c r="L154" s="35"/>
      <c r="M154" s="35"/>
      <c r="N154" s="35"/>
      <c r="O154" s="35"/>
      <c r="P154" s="35"/>
      <c r="Q154" s="32">
        <f t="shared" si="1"/>
        <v>0.01664454545</v>
      </c>
    </row>
    <row r="155">
      <c r="A155" s="16">
        <v>13.0</v>
      </c>
      <c r="B155" s="33" t="s">
        <v>29</v>
      </c>
      <c r="C155" s="33"/>
      <c r="D155" s="33"/>
      <c r="E155" s="33"/>
      <c r="F155" s="35">
        <v>6.666</v>
      </c>
      <c r="G155" s="35">
        <v>13112.0</v>
      </c>
      <c r="H155" s="35">
        <v>0.4</v>
      </c>
      <c r="I155" s="35"/>
      <c r="J155" s="35"/>
      <c r="K155" s="35"/>
      <c r="L155" s="35"/>
      <c r="M155" s="35"/>
      <c r="N155" s="35"/>
      <c r="O155" s="35"/>
      <c r="P155" s="35"/>
      <c r="Q155" s="32">
        <f t="shared" si="1"/>
        <v>0.009837272727</v>
      </c>
    </row>
    <row r="156">
      <c r="A156" s="16">
        <v>14.0</v>
      </c>
      <c r="B156" s="33" t="s">
        <v>29</v>
      </c>
      <c r="C156" s="33"/>
      <c r="D156" s="33"/>
      <c r="E156" s="33"/>
      <c r="F156" s="35">
        <v>7.066</v>
      </c>
      <c r="G156" s="35">
        <v>8219.0</v>
      </c>
      <c r="H156" s="35">
        <v>0.25</v>
      </c>
      <c r="I156" s="35"/>
      <c r="J156" s="35"/>
      <c r="K156" s="35"/>
      <c r="L156" s="35"/>
      <c r="M156" s="35"/>
      <c r="N156" s="35"/>
      <c r="O156" s="35"/>
      <c r="P156" s="35"/>
      <c r="Q156" s="32">
        <f t="shared" si="1"/>
        <v>0.007613181818</v>
      </c>
    </row>
    <row r="157">
      <c r="A157" s="16">
        <v>15.0</v>
      </c>
      <c r="B157" s="33" t="s">
        <v>29</v>
      </c>
      <c r="C157" s="33"/>
      <c r="D157" s="33"/>
      <c r="E157" s="33"/>
      <c r="F157" s="35">
        <v>7.167</v>
      </c>
      <c r="G157" s="35">
        <v>5332.0</v>
      </c>
      <c r="H157" s="35">
        <v>0.16</v>
      </c>
      <c r="I157" s="35"/>
      <c r="J157" s="35"/>
      <c r="K157" s="35"/>
      <c r="L157" s="35"/>
      <c r="M157" s="35"/>
      <c r="N157" s="35"/>
      <c r="O157" s="35"/>
      <c r="P157" s="35"/>
      <c r="Q157" s="32">
        <f t="shared" si="1"/>
        <v>0.006300909091</v>
      </c>
    </row>
    <row r="158">
      <c r="A158" s="16">
        <v>16.0</v>
      </c>
      <c r="B158" s="33" t="s">
        <v>29</v>
      </c>
      <c r="C158" s="33"/>
      <c r="D158" s="33"/>
      <c r="E158" s="33"/>
      <c r="F158" s="35">
        <v>7.26</v>
      </c>
      <c r="G158" s="35">
        <v>1.0</v>
      </c>
      <c r="H158" s="35">
        <v>0.0</v>
      </c>
      <c r="I158" s="35"/>
      <c r="J158" s="35"/>
      <c r="K158" s="35"/>
      <c r="L158" s="35"/>
      <c r="M158" s="35"/>
      <c r="N158" s="35"/>
      <c r="O158" s="35"/>
      <c r="P158" s="35"/>
      <c r="Q158" s="32">
        <f t="shared" si="1"/>
        <v>0.003877727273</v>
      </c>
    </row>
    <row r="159">
      <c r="A159" s="16">
        <v>17.0</v>
      </c>
      <c r="B159" s="33" t="s">
        <v>29</v>
      </c>
      <c r="C159" s="33"/>
      <c r="D159" s="33"/>
      <c r="E159" s="33"/>
      <c r="F159" s="35">
        <v>7.418</v>
      </c>
      <c r="G159" s="35">
        <v>4764.0</v>
      </c>
      <c r="H159" s="35">
        <v>0.14</v>
      </c>
      <c r="I159" s="35"/>
      <c r="J159" s="35"/>
      <c r="K159" s="35"/>
      <c r="L159" s="35"/>
      <c r="M159" s="35"/>
      <c r="N159" s="35"/>
      <c r="O159" s="35"/>
      <c r="P159" s="35"/>
      <c r="Q159" s="32">
        <f t="shared" si="1"/>
        <v>0.006042727273</v>
      </c>
    </row>
    <row r="160">
      <c r="A160" s="16">
        <v>1.0</v>
      </c>
      <c r="B160" s="33" t="s">
        <v>30</v>
      </c>
      <c r="C160" s="33" t="s">
        <v>80</v>
      </c>
      <c r="D160" s="33"/>
      <c r="E160" s="33"/>
      <c r="F160" s="35">
        <v>4.348</v>
      </c>
      <c r="G160" s="35">
        <v>2815.0</v>
      </c>
      <c r="H160" s="35">
        <v>0.09</v>
      </c>
      <c r="I160" s="35">
        <v>3198120.0</v>
      </c>
      <c r="J160" s="35">
        <v>880.0</v>
      </c>
      <c r="K160" s="35">
        <v>8.35</v>
      </c>
      <c r="L160" s="35" t="s">
        <v>81</v>
      </c>
      <c r="M160" s="35" t="s">
        <v>81</v>
      </c>
      <c r="N160" s="35">
        <v>74097.807</v>
      </c>
      <c r="O160" s="35">
        <v>1.613933825161E12</v>
      </c>
      <c r="P160" s="35">
        <v>1358.0</v>
      </c>
      <c r="Q160" s="32">
        <f t="shared" si="1"/>
        <v>0.005156818182</v>
      </c>
    </row>
    <row r="161">
      <c r="A161" s="16">
        <v>2.0</v>
      </c>
      <c r="B161" s="33" t="s">
        <v>30</v>
      </c>
      <c r="C161" s="47"/>
      <c r="D161" s="41"/>
      <c r="E161" s="41"/>
      <c r="F161" s="35">
        <v>4.503</v>
      </c>
      <c r="G161" s="41">
        <v>5562.0</v>
      </c>
      <c r="H161" s="41">
        <v>0.17</v>
      </c>
      <c r="I161" s="49"/>
      <c r="J161" s="49"/>
      <c r="K161" s="49"/>
      <c r="L161" s="49"/>
      <c r="M161" s="49"/>
      <c r="N161" s="49"/>
      <c r="O161" s="49"/>
      <c r="P161" s="49"/>
      <c r="Q161" s="32">
        <f t="shared" si="1"/>
        <v>0.006405454545</v>
      </c>
    </row>
    <row r="162">
      <c r="A162" s="16">
        <v>3.0</v>
      </c>
      <c r="B162" s="33" t="s">
        <v>30</v>
      </c>
      <c r="C162" s="41" t="s">
        <v>10</v>
      </c>
      <c r="D162" s="41"/>
      <c r="E162" s="41"/>
      <c r="F162" s="35">
        <v>4.772</v>
      </c>
      <c r="G162" s="41">
        <v>338037.0</v>
      </c>
      <c r="H162" s="41">
        <v>10.57</v>
      </c>
      <c r="I162" s="49"/>
      <c r="J162" s="49"/>
      <c r="K162" s="49"/>
      <c r="L162" s="49"/>
      <c r="M162" s="49"/>
      <c r="N162" s="49"/>
      <c r="O162" s="49"/>
      <c r="P162" s="49"/>
      <c r="Q162" s="32">
        <f t="shared" si="1"/>
        <v>0.1575304545</v>
      </c>
    </row>
    <row r="163">
      <c r="A163" s="16">
        <v>4.0</v>
      </c>
      <c r="B163" s="33" t="s">
        <v>30</v>
      </c>
      <c r="C163" s="41" t="s">
        <v>82</v>
      </c>
      <c r="D163" s="33"/>
      <c r="E163" s="33"/>
      <c r="F163" s="35">
        <v>4.949</v>
      </c>
      <c r="G163" s="35">
        <v>17603.0</v>
      </c>
      <c r="H163" s="35">
        <v>0.55</v>
      </c>
      <c r="I163" s="35">
        <v>3198120.0</v>
      </c>
      <c r="J163" s="35">
        <v>21428.0</v>
      </c>
      <c r="K163" s="35">
        <v>13.053</v>
      </c>
      <c r="L163" s="35" t="s">
        <v>81</v>
      </c>
      <c r="M163" s="35" t="s">
        <v>81</v>
      </c>
      <c r="N163" s="35" t="s">
        <v>81</v>
      </c>
      <c r="O163" s="35">
        <v>1.613933825161E12</v>
      </c>
      <c r="P163" s="35">
        <v>1358.0</v>
      </c>
      <c r="Q163" s="32">
        <f t="shared" si="1"/>
        <v>0.01187863636</v>
      </c>
    </row>
    <row r="164">
      <c r="A164" s="16">
        <v>5.0</v>
      </c>
      <c r="B164" s="33" t="s">
        <v>30</v>
      </c>
      <c r="C164" s="47"/>
      <c r="D164" s="41"/>
      <c r="E164" s="41"/>
      <c r="F164" s="35">
        <v>5.046</v>
      </c>
      <c r="G164" s="41">
        <v>6741.0</v>
      </c>
      <c r="H164" s="41">
        <v>0.21</v>
      </c>
      <c r="I164" s="49"/>
      <c r="J164" s="49"/>
      <c r="K164" s="49"/>
      <c r="L164" s="49"/>
      <c r="M164" s="49"/>
      <c r="N164" s="49"/>
      <c r="O164" s="49"/>
      <c r="P164" s="49"/>
      <c r="Q164" s="32">
        <f t="shared" si="1"/>
        <v>0.006941363636</v>
      </c>
    </row>
    <row r="165">
      <c r="A165" s="16">
        <v>6.0</v>
      </c>
      <c r="B165" s="33" t="s">
        <v>30</v>
      </c>
      <c r="C165" s="47"/>
      <c r="D165" s="33"/>
      <c r="E165" s="33"/>
      <c r="F165" s="35">
        <v>5.538</v>
      </c>
      <c r="G165" s="41">
        <v>11700.0</v>
      </c>
      <c r="H165" s="35">
        <v>0.37</v>
      </c>
      <c r="I165" s="35"/>
      <c r="J165" s="35"/>
      <c r="K165" s="35"/>
      <c r="L165" s="35"/>
      <c r="M165" s="35"/>
      <c r="N165" s="35"/>
      <c r="O165" s="35"/>
      <c r="P165" s="35"/>
      <c r="Q165" s="32">
        <f t="shared" si="1"/>
        <v>0.009195454545</v>
      </c>
    </row>
    <row r="166">
      <c r="A166" s="16">
        <v>7.0</v>
      </c>
      <c r="B166" s="33" t="s">
        <v>30</v>
      </c>
      <c r="C166" s="47"/>
      <c r="D166" s="33"/>
      <c r="E166" s="33"/>
      <c r="F166" s="35">
        <v>5.559</v>
      </c>
      <c r="G166" s="35">
        <v>43.0</v>
      </c>
      <c r="H166" s="35">
        <v>0.0</v>
      </c>
      <c r="I166" s="35"/>
      <c r="J166" s="35"/>
      <c r="K166" s="35"/>
      <c r="L166" s="35"/>
      <c r="M166" s="35"/>
      <c r="N166" s="35"/>
      <c r="O166" s="35"/>
      <c r="P166" s="35"/>
      <c r="Q166" s="32">
        <f t="shared" si="1"/>
        <v>0.003896818182</v>
      </c>
    </row>
    <row r="167">
      <c r="A167" s="16">
        <v>8.0</v>
      </c>
      <c r="B167" s="33" t="s">
        <v>30</v>
      </c>
      <c r="C167" s="33" t="s">
        <v>13</v>
      </c>
      <c r="D167" s="33"/>
      <c r="E167" s="33"/>
      <c r="F167" s="35">
        <v>5.761</v>
      </c>
      <c r="G167" s="35">
        <v>45329.0</v>
      </c>
      <c r="H167" s="35">
        <v>1.42</v>
      </c>
      <c r="I167" s="35"/>
      <c r="J167" s="35"/>
      <c r="K167" s="35"/>
      <c r="L167" s="35"/>
      <c r="M167" s="35"/>
      <c r="N167" s="35"/>
      <c r="O167" s="35"/>
      <c r="P167" s="35"/>
      <c r="Q167" s="32">
        <f t="shared" si="1"/>
        <v>0.02448136364</v>
      </c>
    </row>
    <row r="168">
      <c r="A168" s="16">
        <v>9.0</v>
      </c>
      <c r="B168" s="33" t="s">
        <v>30</v>
      </c>
      <c r="C168" s="41" t="s">
        <v>15</v>
      </c>
      <c r="D168" s="33"/>
      <c r="E168" s="33"/>
      <c r="F168" s="35">
        <v>5.907</v>
      </c>
      <c r="G168" s="35">
        <v>2313464.0</v>
      </c>
      <c r="H168" s="35">
        <v>72.34</v>
      </c>
      <c r="I168" s="35"/>
      <c r="J168" s="35"/>
      <c r="K168" s="35"/>
      <c r="L168" s="35"/>
      <c r="M168" s="35"/>
      <c r="N168" s="35"/>
      <c r="O168" s="35"/>
      <c r="P168" s="35"/>
      <c r="Q168" s="32">
        <f t="shared" si="1"/>
        <v>1.055451818</v>
      </c>
    </row>
    <row r="169">
      <c r="A169" s="16">
        <v>10.0</v>
      </c>
      <c r="B169" s="33" t="s">
        <v>30</v>
      </c>
      <c r="C169" s="33" t="s">
        <v>17</v>
      </c>
      <c r="D169" s="33"/>
      <c r="E169" s="33"/>
      <c r="F169" s="35">
        <v>6.287</v>
      </c>
      <c r="G169" s="35">
        <v>3688.0</v>
      </c>
      <c r="H169" s="35">
        <v>0.12</v>
      </c>
      <c r="I169" s="35"/>
      <c r="J169" s="35"/>
      <c r="K169" s="35"/>
      <c r="L169" s="35"/>
      <c r="M169" s="35"/>
      <c r="N169" s="35"/>
      <c r="O169" s="35"/>
      <c r="P169" s="35"/>
      <c r="Q169" s="32">
        <f t="shared" si="1"/>
        <v>0.005553636364</v>
      </c>
    </row>
    <row r="170">
      <c r="A170" s="16">
        <v>11.0</v>
      </c>
      <c r="B170" s="33" t="s">
        <v>30</v>
      </c>
      <c r="C170" s="33"/>
      <c r="D170" s="33"/>
      <c r="E170" s="33"/>
      <c r="F170" s="35">
        <v>6.452</v>
      </c>
      <c r="G170" s="35">
        <v>393242.0</v>
      </c>
      <c r="H170" s="35">
        <v>12.3</v>
      </c>
      <c r="I170" s="35"/>
      <c r="J170" s="35"/>
      <c r="K170" s="35"/>
      <c r="L170" s="35"/>
      <c r="M170" s="35"/>
      <c r="N170" s="35"/>
      <c r="O170" s="35"/>
      <c r="P170" s="35"/>
      <c r="Q170" s="32">
        <f t="shared" si="1"/>
        <v>0.1826236364</v>
      </c>
    </row>
    <row r="171">
      <c r="A171" s="16">
        <v>12.0</v>
      </c>
      <c r="B171" s="33" t="s">
        <v>30</v>
      </c>
      <c r="C171" s="33"/>
      <c r="D171" s="33"/>
      <c r="E171" s="33"/>
      <c r="F171" s="35">
        <v>6.585</v>
      </c>
      <c r="G171" s="35">
        <v>27635.0</v>
      </c>
      <c r="H171" s="35">
        <v>0.86</v>
      </c>
      <c r="I171" s="35"/>
      <c r="J171" s="35"/>
      <c r="K171" s="35"/>
      <c r="L171" s="35"/>
      <c r="M171" s="35"/>
      <c r="N171" s="35"/>
      <c r="O171" s="35"/>
      <c r="P171" s="35"/>
      <c r="Q171" s="32">
        <f t="shared" si="1"/>
        <v>0.01643863636</v>
      </c>
    </row>
    <row r="172">
      <c r="A172" s="16">
        <v>13.0</v>
      </c>
      <c r="B172" s="33" t="s">
        <v>30</v>
      </c>
      <c r="C172" s="33"/>
      <c r="D172" s="33"/>
      <c r="E172" s="33"/>
      <c r="F172" s="35">
        <v>6.666</v>
      </c>
      <c r="G172" s="35">
        <v>13004.0</v>
      </c>
      <c r="H172" s="35">
        <v>0.41</v>
      </c>
      <c r="I172" s="35"/>
      <c r="J172" s="35"/>
      <c r="K172" s="35"/>
      <c r="L172" s="35"/>
      <c r="M172" s="35"/>
      <c r="N172" s="35"/>
      <c r="O172" s="35"/>
      <c r="P172" s="35"/>
      <c r="Q172" s="32">
        <f t="shared" si="1"/>
        <v>0.009788181818</v>
      </c>
    </row>
    <row r="173">
      <c r="A173" s="16">
        <v>14.0</v>
      </c>
      <c r="B173" s="33" t="s">
        <v>30</v>
      </c>
      <c r="C173" s="33"/>
      <c r="D173" s="33"/>
      <c r="E173" s="33"/>
      <c r="F173" s="35">
        <v>7.065</v>
      </c>
      <c r="G173" s="35">
        <v>8781.0</v>
      </c>
      <c r="H173" s="35">
        <v>0.27</v>
      </c>
      <c r="I173" s="35"/>
      <c r="J173" s="35"/>
      <c r="K173" s="35"/>
      <c r="L173" s="35"/>
      <c r="M173" s="35"/>
      <c r="N173" s="35"/>
      <c r="O173" s="35"/>
      <c r="P173" s="35"/>
      <c r="Q173" s="32">
        <f t="shared" si="1"/>
        <v>0.007868636364</v>
      </c>
    </row>
    <row r="174">
      <c r="A174" s="16">
        <v>15.0</v>
      </c>
      <c r="B174" s="33" t="s">
        <v>30</v>
      </c>
      <c r="C174" s="33"/>
      <c r="D174" s="33"/>
      <c r="E174" s="33"/>
      <c r="F174" s="35">
        <v>7.167</v>
      </c>
      <c r="G174" s="35">
        <v>5521.0</v>
      </c>
      <c r="H174" s="35">
        <v>0.17</v>
      </c>
      <c r="I174" s="35"/>
      <c r="J174" s="35"/>
      <c r="K174" s="35"/>
      <c r="L174" s="35"/>
      <c r="M174" s="35"/>
      <c r="N174" s="35"/>
      <c r="O174" s="35"/>
      <c r="P174" s="35"/>
      <c r="Q174" s="32">
        <f t="shared" si="1"/>
        <v>0.006386818182</v>
      </c>
    </row>
    <row r="175">
      <c r="A175" s="16">
        <v>16.0</v>
      </c>
      <c r="B175" s="33" t="s">
        <v>30</v>
      </c>
      <c r="C175" s="33"/>
      <c r="D175" s="33"/>
      <c r="E175" s="33"/>
      <c r="F175" s="35">
        <v>7.42</v>
      </c>
      <c r="G175" s="35">
        <v>4955.0</v>
      </c>
      <c r="H175" s="35">
        <v>0.15</v>
      </c>
      <c r="I175" s="35"/>
      <c r="J175" s="35"/>
      <c r="K175" s="35"/>
      <c r="L175" s="35"/>
      <c r="M175" s="35"/>
      <c r="N175" s="35"/>
      <c r="O175" s="35"/>
      <c r="P175" s="35"/>
      <c r="Q175" s="32">
        <f t="shared" si="1"/>
        <v>0.006129545455</v>
      </c>
    </row>
    <row r="176">
      <c r="A176" s="16">
        <v>1.0</v>
      </c>
      <c r="B176" s="33" t="s">
        <v>31</v>
      </c>
      <c r="C176" s="33" t="s">
        <v>80</v>
      </c>
      <c r="D176" s="33"/>
      <c r="E176" s="33"/>
      <c r="F176" s="35">
        <v>4.348</v>
      </c>
      <c r="G176" s="35">
        <v>2824.0</v>
      </c>
      <c r="H176" s="35">
        <v>0.09</v>
      </c>
      <c r="I176" s="35">
        <v>3173319.0</v>
      </c>
      <c r="J176" s="35">
        <v>890.0</v>
      </c>
      <c r="K176" s="35">
        <v>8.4</v>
      </c>
      <c r="L176" s="35" t="s">
        <v>81</v>
      </c>
      <c r="M176" s="35" t="s">
        <v>81</v>
      </c>
      <c r="N176" s="35">
        <v>77283.828</v>
      </c>
      <c r="O176" s="35">
        <v>1.613933825161E12</v>
      </c>
      <c r="P176" s="35">
        <v>1359.0</v>
      </c>
      <c r="Q176" s="32">
        <f t="shared" si="1"/>
        <v>0.005160909091</v>
      </c>
    </row>
    <row r="177">
      <c r="A177" s="16">
        <v>2.0</v>
      </c>
      <c r="B177" s="33" t="s">
        <v>31</v>
      </c>
      <c r="C177" s="41" t="s">
        <v>10</v>
      </c>
      <c r="D177" s="41"/>
      <c r="E177" s="41"/>
      <c r="F177" s="35">
        <v>4.771</v>
      </c>
      <c r="G177" s="41">
        <v>329531.0</v>
      </c>
      <c r="H177" s="41">
        <v>10.38</v>
      </c>
      <c r="I177" s="49"/>
      <c r="J177" s="49"/>
      <c r="K177" s="49"/>
      <c r="L177" s="49"/>
      <c r="M177" s="49"/>
      <c r="N177" s="49"/>
      <c r="O177" s="49"/>
      <c r="P177" s="49"/>
      <c r="Q177" s="32">
        <f t="shared" si="1"/>
        <v>0.1536640909</v>
      </c>
    </row>
    <row r="178">
      <c r="A178" s="16">
        <v>3.0</v>
      </c>
      <c r="B178" s="33" t="s">
        <v>31</v>
      </c>
      <c r="C178" s="33" t="s">
        <v>82</v>
      </c>
      <c r="D178" s="33"/>
      <c r="E178" s="33"/>
      <c r="F178" s="35">
        <v>4.949</v>
      </c>
      <c r="G178" s="35">
        <v>23498.0</v>
      </c>
      <c r="H178" s="35">
        <v>0.74</v>
      </c>
      <c r="I178" s="35"/>
      <c r="J178" s="35"/>
      <c r="K178" s="35"/>
      <c r="L178" s="35"/>
      <c r="M178" s="35"/>
      <c r="N178" s="35"/>
      <c r="O178" s="35"/>
      <c r="P178" s="35"/>
      <c r="Q178" s="32">
        <f t="shared" si="1"/>
        <v>0.01455818182</v>
      </c>
    </row>
    <row r="179">
      <c r="A179" s="16">
        <v>4.0</v>
      </c>
      <c r="B179" s="33" t="s">
        <v>31</v>
      </c>
      <c r="C179" s="33" t="s">
        <v>13</v>
      </c>
      <c r="D179" s="33"/>
      <c r="E179" s="33"/>
      <c r="F179" s="35">
        <v>5.759</v>
      </c>
      <c r="G179" s="35">
        <v>45002.0</v>
      </c>
      <c r="H179" s="35">
        <v>1.42</v>
      </c>
      <c r="I179" s="35">
        <v>3173319.0</v>
      </c>
      <c r="J179" s="35">
        <v>20846.0</v>
      </c>
      <c r="K179" s="35">
        <v>13.103</v>
      </c>
      <c r="L179" s="35" t="s">
        <v>81</v>
      </c>
      <c r="M179" s="35" t="s">
        <v>81</v>
      </c>
      <c r="N179" s="35" t="s">
        <v>81</v>
      </c>
      <c r="O179" s="35">
        <v>1.613933825161E12</v>
      </c>
      <c r="P179" s="35">
        <v>1359.0</v>
      </c>
      <c r="Q179" s="32">
        <f t="shared" si="1"/>
        <v>0.02433272727</v>
      </c>
    </row>
    <row r="180">
      <c r="A180" s="16">
        <v>5.0</v>
      </c>
      <c r="B180" s="33" t="s">
        <v>31</v>
      </c>
      <c r="C180" s="41" t="s">
        <v>15</v>
      </c>
      <c r="D180" s="41"/>
      <c r="E180" s="41"/>
      <c r="F180" s="41">
        <v>5.905</v>
      </c>
      <c r="G180" s="41">
        <v>2292474.0</v>
      </c>
      <c r="H180" s="41">
        <v>72.24</v>
      </c>
      <c r="I180" s="49"/>
      <c r="J180" s="49"/>
      <c r="K180" s="49"/>
      <c r="L180" s="49"/>
      <c r="M180" s="49"/>
      <c r="N180" s="49"/>
      <c r="O180" s="49"/>
      <c r="P180" s="49"/>
      <c r="Q180" s="32">
        <f t="shared" si="1"/>
        <v>1.045910909</v>
      </c>
    </row>
    <row r="181">
      <c r="A181" s="16">
        <v>6.0</v>
      </c>
      <c r="B181" s="33" t="s">
        <v>31</v>
      </c>
      <c r="C181" s="33" t="s">
        <v>17</v>
      </c>
      <c r="D181" s="33"/>
      <c r="E181" s="33"/>
      <c r="F181" s="35">
        <v>6.451</v>
      </c>
      <c r="G181" s="35">
        <v>387976.0</v>
      </c>
      <c r="H181" s="35">
        <v>12.23</v>
      </c>
      <c r="I181" s="35"/>
      <c r="J181" s="35"/>
      <c r="K181" s="35"/>
      <c r="L181" s="35"/>
      <c r="M181" s="35"/>
      <c r="N181" s="35"/>
      <c r="O181" s="35"/>
      <c r="P181" s="35"/>
      <c r="Q181" s="32">
        <f t="shared" si="1"/>
        <v>0.18023</v>
      </c>
    </row>
    <row r="182">
      <c r="A182" s="16">
        <v>1.0</v>
      </c>
      <c r="B182" s="33" t="s">
        <v>32</v>
      </c>
      <c r="C182" s="33" t="s">
        <v>80</v>
      </c>
      <c r="D182" s="33"/>
      <c r="E182" s="33"/>
      <c r="F182" s="35">
        <v>4.348</v>
      </c>
      <c r="G182" s="35">
        <v>2731.0</v>
      </c>
      <c r="H182" s="35">
        <v>0.09</v>
      </c>
      <c r="I182" s="35">
        <v>3072697.0</v>
      </c>
      <c r="J182" s="35">
        <v>850.0</v>
      </c>
      <c r="K182" s="35">
        <v>8.4</v>
      </c>
      <c r="L182" s="35" t="s">
        <v>81</v>
      </c>
      <c r="M182" s="35" t="s">
        <v>81</v>
      </c>
      <c r="N182" s="35">
        <v>73670.977</v>
      </c>
      <c r="O182" s="35">
        <v>1.613933825161E12</v>
      </c>
      <c r="P182" s="35">
        <v>1360.0</v>
      </c>
      <c r="Q182" s="32">
        <f t="shared" si="1"/>
        <v>0.005118636364</v>
      </c>
    </row>
    <row r="183">
      <c r="A183" s="16">
        <v>2.0</v>
      </c>
      <c r="B183" s="33" t="s">
        <v>32</v>
      </c>
      <c r="C183" s="41" t="s">
        <v>10</v>
      </c>
      <c r="D183" s="41"/>
      <c r="E183" s="41"/>
      <c r="F183" s="41">
        <v>4.774</v>
      </c>
      <c r="G183" s="41">
        <v>317370.0</v>
      </c>
      <c r="H183" s="41">
        <v>10.33</v>
      </c>
      <c r="I183" s="49"/>
      <c r="J183" s="49"/>
      <c r="K183" s="49"/>
      <c r="L183" s="49"/>
      <c r="M183" s="49"/>
      <c r="N183" s="49"/>
      <c r="O183" s="49"/>
      <c r="P183" s="49"/>
      <c r="Q183" s="32">
        <f t="shared" si="1"/>
        <v>0.1481363636</v>
      </c>
    </row>
    <row r="184">
      <c r="A184" s="16">
        <v>3.0</v>
      </c>
      <c r="B184" s="33" t="s">
        <v>32</v>
      </c>
      <c r="C184" s="33" t="s">
        <v>82</v>
      </c>
      <c r="D184" s="33"/>
      <c r="E184" s="33"/>
      <c r="F184" s="35">
        <v>4.951</v>
      </c>
      <c r="G184" s="35">
        <v>24579.0</v>
      </c>
      <c r="H184" s="35">
        <v>0.8</v>
      </c>
      <c r="I184" s="35"/>
      <c r="J184" s="35"/>
      <c r="K184" s="35"/>
      <c r="L184" s="35"/>
      <c r="M184" s="35"/>
      <c r="N184" s="35"/>
      <c r="O184" s="35"/>
      <c r="P184" s="35"/>
      <c r="Q184" s="32">
        <f t="shared" si="1"/>
        <v>0.01504954545</v>
      </c>
    </row>
    <row r="185">
      <c r="A185" s="16">
        <v>4.0</v>
      </c>
      <c r="B185" s="33" t="s">
        <v>32</v>
      </c>
      <c r="C185" s="33" t="s">
        <v>13</v>
      </c>
      <c r="D185" s="33"/>
      <c r="E185" s="33"/>
      <c r="F185" s="35">
        <v>5.761</v>
      </c>
      <c r="G185" s="35">
        <v>43130.0</v>
      </c>
      <c r="H185" s="35">
        <v>1.4</v>
      </c>
      <c r="I185" s="35">
        <v>3072697.0</v>
      </c>
      <c r="J185" s="35">
        <v>19975.0</v>
      </c>
      <c r="K185" s="35">
        <v>13.003</v>
      </c>
      <c r="L185" s="35" t="s">
        <v>81</v>
      </c>
      <c r="M185" s="35" t="s">
        <v>81</v>
      </c>
      <c r="N185" s="35" t="s">
        <v>81</v>
      </c>
      <c r="O185" s="35">
        <v>1.613933825161E12</v>
      </c>
      <c r="P185" s="35">
        <v>1360.0</v>
      </c>
      <c r="Q185" s="32">
        <f t="shared" si="1"/>
        <v>0.02348181818</v>
      </c>
    </row>
    <row r="186">
      <c r="A186" s="16">
        <v>5.0</v>
      </c>
      <c r="B186" s="33" t="s">
        <v>32</v>
      </c>
      <c r="C186" s="33" t="s">
        <v>15</v>
      </c>
      <c r="D186" s="33"/>
      <c r="E186" s="33"/>
      <c r="F186" s="35">
        <v>5.906</v>
      </c>
      <c r="G186" s="35">
        <v>2218856.0</v>
      </c>
      <c r="H186" s="35">
        <v>72.21</v>
      </c>
      <c r="I186" s="35"/>
      <c r="J186" s="35"/>
      <c r="K186" s="35"/>
      <c r="L186" s="35"/>
      <c r="M186" s="35"/>
      <c r="N186" s="35"/>
      <c r="O186" s="35"/>
      <c r="P186" s="35"/>
      <c r="Q186" s="32">
        <f t="shared" si="1"/>
        <v>1.012448182</v>
      </c>
    </row>
    <row r="187">
      <c r="A187" s="16">
        <v>6.0</v>
      </c>
      <c r="B187" s="33" t="s">
        <v>32</v>
      </c>
      <c r="C187" s="33" t="s">
        <v>17</v>
      </c>
      <c r="D187" s="33"/>
      <c r="E187" s="33"/>
      <c r="F187" s="35">
        <v>6.451</v>
      </c>
      <c r="G187" s="35">
        <v>378463.0</v>
      </c>
      <c r="H187" s="35">
        <v>12.32</v>
      </c>
      <c r="I187" s="35"/>
      <c r="J187" s="35"/>
      <c r="K187" s="35"/>
      <c r="L187" s="35"/>
      <c r="M187" s="35"/>
      <c r="N187" s="35"/>
      <c r="O187" s="35"/>
      <c r="P187" s="35"/>
      <c r="Q187" s="32">
        <f t="shared" si="1"/>
        <v>0.1759059091</v>
      </c>
    </row>
    <row r="188">
      <c r="A188" s="16">
        <v>1.0</v>
      </c>
      <c r="B188" s="33" t="s">
        <v>34</v>
      </c>
      <c r="C188" s="33" t="s">
        <v>80</v>
      </c>
      <c r="D188" s="33"/>
      <c r="E188" s="33"/>
      <c r="F188" s="35">
        <v>4.344</v>
      </c>
      <c r="G188" s="35">
        <v>2230.0</v>
      </c>
      <c r="H188" s="35">
        <v>0.08</v>
      </c>
      <c r="I188" s="35">
        <v>2827139.0</v>
      </c>
      <c r="J188" s="35">
        <v>669.0</v>
      </c>
      <c r="K188" s="35">
        <v>8.4</v>
      </c>
      <c r="L188" s="35" t="s">
        <v>81</v>
      </c>
      <c r="M188" s="35" t="s">
        <v>81</v>
      </c>
      <c r="N188" s="35">
        <v>63628.078</v>
      </c>
      <c r="O188" s="35">
        <v>1.613933825161E12</v>
      </c>
      <c r="P188" s="35">
        <v>1361.0</v>
      </c>
      <c r="Q188" s="32">
        <f t="shared" si="1"/>
        <v>0.004890909091</v>
      </c>
    </row>
    <row r="189">
      <c r="A189" s="16">
        <v>2.0</v>
      </c>
      <c r="B189" s="33" t="s">
        <v>34</v>
      </c>
      <c r="C189" s="41" t="s">
        <v>10</v>
      </c>
      <c r="D189" s="41"/>
      <c r="E189" s="41"/>
      <c r="F189" s="41">
        <v>4.772</v>
      </c>
      <c r="G189" s="41">
        <v>288487.0</v>
      </c>
      <c r="H189" s="41">
        <v>10.2</v>
      </c>
      <c r="I189" s="49"/>
      <c r="J189" s="49"/>
      <c r="K189" s="49"/>
      <c r="L189" s="49"/>
      <c r="M189" s="49"/>
      <c r="N189" s="49"/>
      <c r="O189" s="49"/>
      <c r="P189" s="49"/>
      <c r="Q189" s="32">
        <f t="shared" si="1"/>
        <v>0.1350077273</v>
      </c>
    </row>
    <row r="190">
      <c r="A190" s="16">
        <v>3.0</v>
      </c>
      <c r="B190" s="33" t="s">
        <v>34</v>
      </c>
      <c r="C190" s="33" t="s">
        <v>82</v>
      </c>
      <c r="D190" s="33"/>
      <c r="E190" s="33"/>
      <c r="F190" s="35">
        <v>4.948</v>
      </c>
      <c r="G190" s="35">
        <v>31592.0</v>
      </c>
      <c r="H190" s="35">
        <v>1.12</v>
      </c>
      <c r="I190" s="35"/>
      <c r="J190" s="35"/>
      <c r="K190" s="35"/>
      <c r="L190" s="35"/>
      <c r="M190" s="35"/>
      <c r="N190" s="35"/>
      <c r="O190" s="35"/>
      <c r="P190" s="35"/>
      <c r="Q190" s="32">
        <f t="shared" si="1"/>
        <v>0.01823727273</v>
      </c>
    </row>
    <row r="191">
      <c r="A191" s="16">
        <v>4.0</v>
      </c>
      <c r="B191" s="33" t="s">
        <v>34</v>
      </c>
      <c r="C191" s="33" t="s">
        <v>13</v>
      </c>
      <c r="D191" s="33"/>
      <c r="E191" s="33"/>
      <c r="F191" s="35">
        <v>5.759</v>
      </c>
      <c r="G191" s="35">
        <v>39990.0</v>
      </c>
      <c r="H191" s="35">
        <v>1.41</v>
      </c>
      <c r="I191" s="35"/>
      <c r="J191" s="35"/>
      <c r="K191" s="35"/>
      <c r="L191" s="35"/>
      <c r="M191" s="35"/>
      <c r="N191" s="35"/>
      <c r="O191" s="35"/>
      <c r="P191" s="35"/>
      <c r="Q191" s="32">
        <f t="shared" si="1"/>
        <v>0.02205454545</v>
      </c>
    </row>
    <row r="192">
      <c r="A192" s="16">
        <v>5.0</v>
      </c>
      <c r="B192" s="33" t="s">
        <v>34</v>
      </c>
      <c r="C192" s="33" t="s">
        <v>15</v>
      </c>
      <c r="D192" s="33"/>
      <c r="E192" s="33"/>
      <c r="F192" s="35">
        <v>5.902</v>
      </c>
      <c r="G192" s="35">
        <v>2025931.0</v>
      </c>
      <c r="H192" s="35">
        <v>71.66</v>
      </c>
      <c r="I192" s="35">
        <v>2827139.0</v>
      </c>
      <c r="J192" s="35">
        <v>610024.0</v>
      </c>
      <c r="K192" s="35">
        <v>27.706</v>
      </c>
      <c r="L192" s="35">
        <v>2.019</v>
      </c>
      <c r="M192" s="35">
        <v>1.023</v>
      </c>
      <c r="N192" s="35" t="s">
        <v>81</v>
      </c>
      <c r="O192" s="35">
        <v>1.613933825161E12</v>
      </c>
      <c r="P192" s="35">
        <v>1361.0</v>
      </c>
      <c r="Q192" s="32">
        <f t="shared" si="1"/>
        <v>0.924755</v>
      </c>
    </row>
    <row r="193">
      <c r="A193" s="16">
        <v>6.0</v>
      </c>
      <c r="B193" s="33" t="s">
        <v>34</v>
      </c>
      <c r="C193" s="33" t="s">
        <v>17</v>
      </c>
      <c r="D193" s="33"/>
      <c r="E193" s="33"/>
      <c r="F193" s="35">
        <v>6.448</v>
      </c>
      <c r="G193" s="35">
        <v>349481.0</v>
      </c>
      <c r="H193" s="35">
        <v>12.36</v>
      </c>
      <c r="I193" s="35"/>
      <c r="J193" s="35"/>
      <c r="K193" s="35"/>
      <c r="L193" s="35"/>
      <c r="M193" s="35"/>
      <c r="N193" s="35"/>
      <c r="O193" s="35"/>
      <c r="P193" s="35"/>
      <c r="Q193" s="32">
        <f t="shared" si="1"/>
        <v>0.1627322727</v>
      </c>
    </row>
    <row r="194">
      <c r="A194" s="16">
        <v>1.0</v>
      </c>
      <c r="B194" s="33" t="s">
        <v>35</v>
      </c>
      <c r="C194" s="33" t="s">
        <v>80</v>
      </c>
      <c r="D194" s="33"/>
      <c r="E194" s="33"/>
      <c r="F194" s="35">
        <v>4.344</v>
      </c>
      <c r="G194" s="35">
        <v>2360.0</v>
      </c>
      <c r="H194" s="35">
        <v>0.08</v>
      </c>
      <c r="I194" s="35">
        <v>3069666.0</v>
      </c>
      <c r="J194" s="35">
        <v>708.0</v>
      </c>
      <c r="K194" s="35">
        <v>8.45</v>
      </c>
      <c r="L194" s="35" t="s">
        <v>81</v>
      </c>
      <c r="M194" s="35" t="s">
        <v>81</v>
      </c>
      <c r="N194" s="35">
        <v>74551.445</v>
      </c>
      <c r="O194" s="35">
        <v>1.613933825161E12</v>
      </c>
      <c r="P194" s="35">
        <v>1362.0</v>
      </c>
      <c r="Q194" s="32">
        <f t="shared" si="1"/>
        <v>0.00495</v>
      </c>
    </row>
    <row r="195">
      <c r="A195" s="16">
        <v>2.0</v>
      </c>
      <c r="B195" s="33" t="s">
        <v>35</v>
      </c>
      <c r="C195" s="41" t="s">
        <v>10</v>
      </c>
      <c r="D195" s="41"/>
      <c r="E195" s="41"/>
      <c r="F195" s="41">
        <v>4.769</v>
      </c>
      <c r="G195" s="41">
        <v>311839.0</v>
      </c>
      <c r="H195" s="41">
        <v>10.16</v>
      </c>
      <c r="I195" s="49"/>
      <c r="J195" s="49"/>
      <c r="K195" s="49"/>
      <c r="L195" s="49"/>
      <c r="M195" s="49"/>
      <c r="N195" s="49"/>
      <c r="O195" s="49"/>
      <c r="P195" s="49"/>
      <c r="Q195" s="32">
        <f t="shared" si="1"/>
        <v>0.1456222727</v>
      </c>
    </row>
    <row r="196">
      <c r="A196" s="16">
        <v>3.0</v>
      </c>
      <c r="B196" s="33" t="s">
        <v>35</v>
      </c>
      <c r="C196" s="33" t="s">
        <v>82</v>
      </c>
      <c r="D196" s="33"/>
      <c r="E196" s="33"/>
      <c r="F196" s="38">
        <v>4.946</v>
      </c>
      <c r="G196" s="36">
        <v>37750.0</v>
      </c>
      <c r="H196" s="39">
        <v>1.23</v>
      </c>
      <c r="I196" s="43"/>
      <c r="J196" s="43"/>
      <c r="K196" s="43"/>
      <c r="L196" s="44"/>
      <c r="M196" s="43"/>
      <c r="N196" s="43"/>
      <c r="O196" s="50"/>
      <c r="P196" s="50"/>
      <c r="Q196" s="32">
        <f t="shared" si="1"/>
        <v>0.02103636364</v>
      </c>
    </row>
    <row r="197">
      <c r="A197" s="16">
        <v>4.0</v>
      </c>
      <c r="B197" s="33" t="s">
        <v>35</v>
      </c>
      <c r="C197" s="33" t="s">
        <v>15</v>
      </c>
      <c r="D197" s="33"/>
      <c r="E197" s="33"/>
      <c r="F197" s="35">
        <v>5.903</v>
      </c>
      <c r="G197" s="35">
        <v>2210238.0</v>
      </c>
      <c r="H197" s="35">
        <v>72.0</v>
      </c>
      <c r="I197" s="35">
        <v>3069666.0</v>
      </c>
      <c r="J197" s="35">
        <v>646244.0</v>
      </c>
      <c r="K197" s="35">
        <v>27.456</v>
      </c>
      <c r="L197" s="35">
        <v>1.995</v>
      </c>
      <c r="M197" s="35">
        <v>1.016</v>
      </c>
      <c r="N197" s="35" t="s">
        <v>81</v>
      </c>
      <c r="O197" s="35">
        <v>1.613933825161E12</v>
      </c>
      <c r="P197" s="35">
        <v>1362.0</v>
      </c>
      <c r="Q197" s="32">
        <f t="shared" si="1"/>
        <v>1.008530909</v>
      </c>
    </row>
    <row r="198">
      <c r="A198" s="16">
        <v>5.0</v>
      </c>
      <c r="B198" s="33" t="s">
        <v>35</v>
      </c>
      <c r="C198" s="33" t="s">
        <v>13</v>
      </c>
      <c r="D198" s="33"/>
      <c r="E198" s="33"/>
      <c r="F198" s="38">
        <v>5.758</v>
      </c>
      <c r="G198" s="36">
        <v>43351.0</v>
      </c>
      <c r="H198" s="39">
        <v>1.41</v>
      </c>
      <c r="I198" s="43"/>
      <c r="J198" s="43"/>
      <c r="K198" s="43"/>
      <c r="L198" s="44"/>
      <c r="M198" s="43"/>
      <c r="N198" s="43"/>
      <c r="O198" s="50"/>
      <c r="P198" s="50"/>
      <c r="Q198" s="32">
        <f t="shared" si="1"/>
        <v>0.02358227273</v>
      </c>
    </row>
    <row r="199">
      <c r="A199" s="16">
        <v>6.0</v>
      </c>
      <c r="B199" s="33" t="s">
        <v>35</v>
      </c>
      <c r="C199" s="33" t="s">
        <v>17</v>
      </c>
      <c r="D199" s="33"/>
      <c r="E199" s="33"/>
      <c r="F199" s="38">
        <v>6.449</v>
      </c>
      <c r="G199" s="36">
        <v>377715.0</v>
      </c>
      <c r="H199" s="39">
        <v>12.3</v>
      </c>
      <c r="I199" s="43"/>
      <c r="J199" s="43"/>
      <c r="K199" s="43"/>
      <c r="L199" s="44"/>
      <c r="M199" s="43"/>
      <c r="N199" s="43"/>
      <c r="O199" s="50"/>
      <c r="P199" s="50"/>
      <c r="Q199" s="32">
        <f t="shared" si="1"/>
        <v>0.1755659091</v>
      </c>
    </row>
    <row r="200">
      <c r="A200" s="16">
        <v>1.0</v>
      </c>
      <c r="B200" s="33" t="s">
        <v>40</v>
      </c>
      <c r="C200" s="33" t="s">
        <v>80</v>
      </c>
      <c r="D200" s="33"/>
      <c r="E200" s="33"/>
      <c r="F200" s="38">
        <v>4.511</v>
      </c>
      <c r="G200" s="36">
        <v>1919.0</v>
      </c>
      <c r="H200" s="39">
        <v>10.07</v>
      </c>
      <c r="I200" s="43"/>
      <c r="J200" s="43"/>
      <c r="K200" s="43"/>
      <c r="L200" s="44"/>
      <c r="M200" s="43"/>
      <c r="N200" s="43"/>
      <c r="O200" s="50"/>
      <c r="P200" s="50"/>
      <c r="Q200" s="32">
        <f t="shared" si="1"/>
        <v>0.004749545455</v>
      </c>
    </row>
    <row r="201">
      <c r="A201" s="16">
        <v>2.0</v>
      </c>
      <c r="B201" s="33" t="s">
        <v>40</v>
      </c>
      <c r="C201" s="41" t="s">
        <v>10</v>
      </c>
      <c r="D201" s="41"/>
      <c r="E201" s="41"/>
      <c r="F201" s="38">
        <v>4.787</v>
      </c>
      <c r="G201" s="36">
        <v>2703.0</v>
      </c>
      <c r="H201" s="39">
        <v>14.18</v>
      </c>
      <c r="I201" s="43"/>
      <c r="J201" s="43"/>
      <c r="K201" s="43"/>
      <c r="L201" s="44"/>
      <c r="M201" s="43"/>
      <c r="N201" s="43"/>
      <c r="O201" s="50"/>
      <c r="P201" s="50"/>
      <c r="Q201" s="32">
        <f t="shared" si="1"/>
        <v>0.005105909091</v>
      </c>
    </row>
    <row r="202">
      <c r="A202" s="16">
        <v>3.0</v>
      </c>
      <c r="B202" s="33" t="s">
        <v>40</v>
      </c>
      <c r="C202" s="33" t="s">
        <v>82</v>
      </c>
      <c r="D202" s="33"/>
      <c r="E202" s="33"/>
      <c r="F202" s="38">
        <v>4.9</v>
      </c>
      <c r="G202" s="46"/>
      <c r="H202" s="43"/>
      <c r="I202" s="43"/>
      <c r="J202" s="43"/>
      <c r="K202" s="43"/>
      <c r="L202" s="44"/>
      <c r="M202" s="43"/>
      <c r="N202" s="43"/>
      <c r="O202" s="50"/>
      <c r="P202" s="50"/>
      <c r="Q202" s="32" t="str">
        <f t="shared" si="1"/>
        <v/>
      </c>
    </row>
    <row r="203">
      <c r="A203" s="16">
        <v>4.0</v>
      </c>
      <c r="B203" s="33" t="s">
        <v>40</v>
      </c>
      <c r="C203" s="33" t="s">
        <v>13</v>
      </c>
      <c r="D203" s="33"/>
      <c r="E203" s="33"/>
      <c r="F203" s="38">
        <v>5.79</v>
      </c>
      <c r="G203" s="46"/>
      <c r="H203" s="43"/>
      <c r="I203" s="43"/>
      <c r="J203" s="43"/>
      <c r="K203" s="43"/>
      <c r="L203" s="44"/>
      <c r="M203" s="43"/>
      <c r="N203" s="43"/>
      <c r="O203" s="50"/>
      <c r="P203" s="50"/>
      <c r="Q203" s="32" t="str">
        <f t="shared" si="1"/>
        <v/>
      </c>
    </row>
    <row r="204">
      <c r="A204" s="16">
        <v>5.0</v>
      </c>
      <c r="B204" s="33" t="s">
        <v>40</v>
      </c>
      <c r="C204" s="33" t="s">
        <v>15</v>
      </c>
      <c r="D204" s="33"/>
      <c r="E204" s="33"/>
      <c r="F204" s="38">
        <v>5.87</v>
      </c>
      <c r="G204" s="36">
        <v>7388.0</v>
      </c>
      <c r="H204" s="39">
        <v>38.75</v>
      </c>
      <c r="I204" s="43"/>
      <c r="J204" s="43"/>
      <c r="K204" s="43"/>
      <c r="L204" s="44"/>
      <c r="M204" s="43"/>
      <c r="N204" s="43"/>
      <c r="O204" s="50"/>
      <c r="P204" s="50"/>
      <c r="Q204" s="32">
        <f t="shared" si="1"/>
        <v>0.007235454545</v>
      </c>
    </row>
    <row r="205">
      <c r="A205" s="16">
        <v>6.0</v>
      </c>
      <c r="B205" s="33" t="s">
        <v>40</v>
      </c>
      <c r="C205" s="33" t="s">
        <v>17</v>
      </c>
      <c r="D205" s="33"/>
      <c r="E205" s="33"/>
      <c r="F205" s="38">
        <v>6.438</v>
      </c>
      <c r="G205" s="36">
        <v>3660.0</v>
      </c>
      <c r="H205" s="39">
        <v>19.2</v>
      </c>
      <c r="I205" s="43"/>
      <c r="J205" s="43"/>
      <c r="K205" s="43"/>
      <c r="L205" s="44"/>
      <c r="M205" s="43"/>
      <c r="N205" s="43"/>
      <c r="O205" s="50"/>
      <c r="P205" s="50"/>
      <c r="Q205" s="32">
        <f t="shared" si="1"/>
        <v>0.005540909091</v>
      </c>
    </row>
    <row r="206">
      <c r="A206" s="16">
        <v>1.0</v>
      </c>
      <c r="B206" s="33" t="s">
        <v>36</v>
      </c>
      <c r="C206" s="33" t="s">
        <v>80</v>
      </c>
      <c r="D206" s="33"/>
      <c r="E206" s="33"/>
      <c r="F206" s="38">
        <v>4.347</v>
      </c>
      <c r="G206" s="36">
        <v>2292.0</v>
      </c>
      <c r="H206" s="39">
        <v>0.07</v>
      </c>
      <c r="I206" s="43"/>
      <c r="J206" s="43"/>
      <c r="K206" s="43"/>
      <c r="L206" s="44"/>
      <c r="M206" s="43"/>
      <c r="N206" s="43"/>
      <c r="O206" s="50"/>
      <c r="P206" s="50"/>
      <c r="Q206" s="32">
        <f t="shared" si="1"/>
        <v>0.004919090909</v>
      </c>
    </row>
    <row r="207">
      <c r="A207" s="16">
        <v>2.0</v>
      </c>
      <c r="B207" s="33" t="s">
        <v>36</v>
      </c>
      <c r="C207" s="41" t="s">
        <v>10</v>
      </c>
      <c r="D207" s="41"/>
      <c r="E207" s="41"/>
      <c r="F207" s="38">
        <v>4.771</v>
      </c>
      <c r="G207" s="36">
        <v>332524.0</v>
      </c>
      <c r="H207" s="39">
        <v>10.05</v>
      </c>
      <c r="I207" s="43"/>
      <c r="J207" s="43"/>
      <c r="K207" s="43"/>
      <c r="L207" s="44"/>
      <c r="M207" s="43"/>
      <c r="N207" s="43"/>
      <c r="O207" s="50"/>
      <c r="P207" s="50"/>
      <c r="Q207" s="32">
        <f t="shared" si="1"/>
        <v>0.1550245455</v>
      </c>
    </row>
    <row r="208">
      <c r="A208" s="16">
        <v>3.0</v>
      </c>
      <c r="B208" s="33" t="s">
        <v>36</v>
      </c>
      <c r="C208" s="33" t="s">
        <v>82</v>
      </c>
      <c r="D208" s="33"/>
      <c r="E208" s="33"/>
      <c r="F208" s="38">
        <v>4.949</v>
      </c>
      <c r="G208" s="36">
        <v>33768.0</v>
      </c>
      <c r="H208" s="39">
        <v>1.02</v>
      </c>
      <c r="I208" s="43"/>
      <c r="J208" s="43"/>
      <c r="K208" s="43"/>
      <c r="L208" s="44"/>
      <c r="M208" s="43"/>
      <c r="N208" s="43"/>
      <c r="O208" s="50"/>
      <c r="P208" s="50"/>
      <c r="Q208" s="32">
        <f t="shared" si="1"/>
        <v>0.01922636364</v>
      </c>
    </row>
    <row r="209">
      <c r="A209" s="16">
        <v>4.0</v>
      </c>
      <c r="B209" s="33" t="s">
        <v>36</v>
      </c>
      <c r="C209" s="33" t="s">
        <v>13</v>
      </c>
      <c r="D209" s="33"/>
      <c r="E209" s="33"/>
      <c r="F209" s="38">
        <v>5.759</v>
      </c>
      <c r="G209" s="36">
        <v>47182.0</v>
      </c>
      <c r="H209" s="39">
        <v>1.43</v>
      </c>
      <c r="I209" s="43"/>
      <c r="J209" s="43"/>
      <c r="K209" s="43"/>
      <c r="L209" s="44"/>
      <c r="M209" s="43"/>
      <c r="N209" s="43"/>
      <c r="O209" s="50"/>
      <c r="P209" s="50"/>
      <c r="Q209" s="32">
        <f t="shared" si="1"/>
        <v>0.02532363636</v>
      </c>
    </row>
    <row r="210">
      <c r="A210" s="16">
        <v>5.0</v>
      </c>
      <c r="B210" s="33" t="s">
        <v>36</v>
      </c>
      <c r="C210" s="33" t="s">
        <v>15</v>
      </c>
      <c r="D210" s="33"/>
      <c r="E210" s="33"/>
      <c r="F210" s="38">
        <v>5.905</v>
      </c>
      <c r="G210" s="36">
        <v>2377012.0</v>
      </c>
      <c r="H210" s="39">
        <v>71.82</v>
      </c>
      <c r="I210" s="43"/>
      <c r="J210" s="43"/>
      <c r="K210" s="43"/>
      <c r="L210" s="44"/>
      <c r="M210" s="43"/>
      <c r="N210" s="43"/>
      <c r="O210" s="50"/>
      <c r="P210" s="50"/>
      <c r="Q210" s="32">
        <f t="shared" si="1"/>
        <v>1.084337273</v>
      </c>
    </row>
    <row r="211">
      <c r="A211" s="16">
        <v>6.0</v>
      </c>
      <c r="B211" s="33" t="s">
        <v>36</v>
      </c>
      <c r="C211" s="33" t="s">
        <v>17</v>
      </c>
      <c r="D211" s="33"/>
      <c r="E211" s="33"/>
      <c r="F211" s="38">
        <v>6.45</v>
      </c>
      <c r="G211" s="36">
        <v>405223.0</v>
      </c>
      <c r="H211" s="39">
        <v>12.24</v>
      </c>
      <c r="I211" s="43"/>
      <c r="J211" s="43"/>
      <c r="K211" s="43"/>
      <c r="L211" s="44"/>
      <c r="M211" s="43"/>
      <c r="N211" s="43"/>
      <c r="O211" s="50"/>
      <c r="P211" s="50"/>
      <c r="Q211" s="32">
        <f t="shared" si="1"/>
        <v>0.1880695455</v>
      </c>
    </row>
    <row r="212">
      <c r="A212" s="16">
        <v>1.0</v>
      </c>
      <c r="B212" s="33" t="s">
        <v>37</v>
      </c>
      <c r="C212" s="33" t="s">
        <v>80</v>
      </c>
      <c r="D212" s="33"/>
      <c r="E212" s="33"/>
      <c r="F212" s="38">
        <v>4.345</v>
      </c>
      <c r="G212" s="36">
        <v>2286.0</v>
      </c>
      <c r="H212" s="39">
        <v>0.08</v>
      </c>
      <c r="I212" s="43"/>
      <c r="J212" s="43"/>
      <c r="K212" s="43"/>
      <c r="L212" s="44"/>
      <c r="M212" s="43"/>
      <c r="N212" s="43"/>
      <c r="O212" s="50"/>
      <c r="P212" s="50"/>
      <c r="Q212" s="32">
        <f t="shared" si="1"/>
        <v>0.004916363636</v>
      </c>
    </row>
    <row r="213">
      <c r="A213" s="16">
        <v>2.0</v>
      </c>
      <c r="B213" s="33" t="s">
        <v>37</v>
      </c>
      <c r="C213" s="41" t="s">
        <v>10</v>
      </c>
      <c r="D213" s="41"/>
      <c r="E213" s="41"/>
      <c r="F213" s="38">
        <v>4.77</v>
      </c>
      <c r="G213" s="36">
        <v>307262.0</v>
      </c>
      <c r="H213" s="39">
        <v>10.09</v>
      </c>
      <c r="I213" s="43"/>
      <c r="J213" s="43"/>
      <c r="K213" s="43"/>
      <c r="L213" s="44"/>
      <c r="M213" s="43"/>
      <c r="N213" s="43"/>
      <c r="O213" s="50"/>
      <c r="P213" s="50"/>
      <c r="Q213" s="32">
        <f t="shared" si="1"/>
        <v>0.1435418182</v>
      </c>
    </row>
    <row r="214">
      <c r="A214" s="16">
        <v>3.0</v>
      </c>
      <c r="B214" s="33" t="s">
        <v>37</v>
      </c>
      <c r="C214" s="33" t="s">
        <v>82</v>
      </c>
      <c r="D214" s="33"/>
      <c r="E214" s="33"/>
      <c r="F214" s="38">
        <v>4.947</v>
      </c>
      <c r="G214" s="36">
        <v>32531.0</v>
      </c>
      <c r="H214" s="39">
        <v>1.07</v>
      </c>
      <c r="I214" s="43"/>
      <c r="J214" s="43"/>
      <c r="K214" s="43"/>
      <c r="L214" s="44"/>
      <c r="M214" s="43"/>
      <c r="N214" s="43"/>
      <c r="O214" s="50"/>
      <c r="P214" s="50"/>
      <c r="Q214" s="32">
        <f t="shared" si="1"/>
        <v>0.01866409091</v>
      </c>
    </row>
    <row r="215">
      <c r="A215" s="16">
        <v>4.0</v>
      </c>
      <c r="B215" s="33" t="s">
        <v>37</v>
      </c>
      <c r="C215" s="33" t="s">
        <v>13</v>
      </c>
      <c r="D215" s="33"/>
      <c r="E215" s="33"/>
      <c r="F215" s="38">
        <v>5.758</v>
      </c>
      <c r="G215" s="36">
        <v>43054.0</v>
      </c>
      <c r="H215" s="39">
        <v>1.41</v>
      </c>
      <c r="I215" s="43"/>
      <c r="J215" s="43"/>
      <c r="K215" s="43"/>
      <c r="L215" s="44"/>
      <c r="M215" s="43"/>
      <c r="N215" s="43"/>
      <c r="O215" s="50"/>
      <c r="P215" s="50"/>
      <c r="Q215" s="32">
        <f t="shared" si="1"/>
        <v>0.02344727273</v>
      </c>
    </row>
    <row r="216">
      <c r="A216" s="16">
        <v>5.0</v>
      </c>
      <c r="B216" s="33" t="s">
        <v>37</v>
      </c>
      <c r="C216" s="33" t="s">
        <v>15</v>
      </c>
      <c r="D216" s="33"/>
      <c r="E216" s="33"/>
      <c r="F216" s="38">
        <v>5.902</v>
      </c>
      <c r="G216" s="36">
        <v>2127977.0</v>
      </c>
      <c r="H216" s="39">
        <v>69.88</v>
      </c>
      <c r="I216" s="43"/>
      <c r="J216" s="43"/>
      <c r="K216" s="43"/>
      <c r="L216" s="44"/>
      <c r="M216" s="43"/>
      <c r="N216" s="43"/>
      <c r="O216" s="50"/>
      <c r="P216" s="50"/>
      <c r="Q216" s="32">
        <f t="shared" si="1"/>
        <v>0.9711395455</v>
      </c>
    </row>
    <row r="217">
      <c r="A217" s="16">
        <v>6.0</v>
      </c>
      <c r="B217" s="33" t="s">
        <v>37</v>
      </c>
      <c r="C217" s="33" t="s">
        <v>17</v>
      </c>
      <c r="D217" s="33"/>
      <c r="E217" s="33"/>
      <c r="F217" s="38">
        <v>6.447</v>
      </c>
      <c r="G217" s="36">
        <v>373634.0</v>
      </c>
      <c r="H217" s="39">
        <v>12.27</v>
      </c>
      <c r="I217" s="43"/>
      <c r="J217" s="43"/>
      <c r="K217" s="43"/>
      <c r="L217" s="44"/>
      <c r="M217" s="43"/>
      <c r="N217" s="43"/>
      <c r="O217" s="50"/>
      <c r="P217" s="50"/>
      <c r="Q217" s="32">
        <f t="shared" si="1"/>
        <v>0.1737109091</v>
      </c>
    </row>
    <row r="218">
      <c r="A218" s="16">
        <v>1.0</v>
      </c>
      <c r="B218" s="33" t="s">
        <v>38</v>
      </c>
      <c r="C218" s="33" t="s">
        <v>80</v>
      </c>
      <c r="D218" s="33"/>
      <c r="E218" s="33"/>
      <c r="F218" s="38">
        <v>4.346</v>
      </c>
      <c r="G218" s="36">
        <v>1830.0</v>
      </c>
      <c r="H218" s="39">
        <v>0.06</v>
      </c>
      <c r="I218" s="43"/>
      <c r="J218" s="43"/>
      <c r="K218" s="43"/>
      <c r="L218" s="44"/>
      <c r="M218" s="43"/>
      <c r="N218" s="43"/>
      <c r="O218" s="50"/>
      <c r="P218" s="50"/>
      <c r="Q218" s="32">
        <f t="shared" si="1"/>
        <v>0.004709090909</v>
      </c>
    </row>
    <row r="219">
      <c r="A219" s="16">
        <v>2.0</v>
      </c>
      <c r="B219" s="33" t="s">
        <v>38</v>
      </c>
      <c r="C219" s="41" t="s">
        <v>10</v>
      </c>
      <c r="D219" s="41"/>
      <c r="E219" s="41"/>
      <c r="F219" s="38">
        <v>4.768</v>
      </c>
      <c r="G219" s="36">
        <v>306829.0</v>
      </c>
      <c r="H219" s="39">
        <v>9.67</v>
      </c>
      <c r="I219" s="43"/>
      <c r="J219" s="43"/>
      <c r="K219" s="43"/>
      <c r="L219" s="43"/>
      <c r="M219" s="43"/>
      <c r="N219" s="43"/>
      <c r="O219" s="50"/>
      <c r="P219" s="50"/>
      <c r="Q219" s="32">
        <f t="shared" si="1"/>
        <v>0.143345</v>
      </c>
    </row>
    <row r="220">
      <c r="A220" s="16">
        <v>3.0</v>
      </c>
      <c r="B220" s="33" t="s">
        <v>38</v>
      </c>
      <c r="C220" s="33" t="s">
        <v>82</v>
      </c>
      <c r="D220" s="33"/>
      <c r="E220" s="33"/>
      <c r="F220" s="38">
        <v>4.947</v>
      </c>
      <c r="G220" s="36">
        <v>46386.0</v>
      </c>
      <c r="H220" s="39">
        <v>1.46</v>
      </c>
      <c r="I220" s="43"/>
      <c r="J220" s="43"/>
      <c r="K220" s="43"/>
      <c r="L220" s="43"/>
      <c r="M220" s="43"/>
      <c r="N220" s="43"/>
      <c r="O220" s="50"/>
      <c r="P220" s="50"/>
      <c r="Q220" s="32">
        <f t="shared" si="1"/>
        <v>0.02496181818</v>
      </c>
    </row>
    <row r="221">
      <c r="A221" s="16">
        <v>4.0</v>
      </c>
      <c r="B221" s="33" t="s">
        <v>38</v>
      </c>
      <c r="C221" s="33" t="s">
        <v>13</v>
      </c>
      <c r="D221" s="33"/>
      <c r="E221" s="33"/>
      <c r="F221" s="38">
        <v>5.758</v>
      </c>
      <c r="G221" s="36">
        <v>46235.0</v>
      </c>
      <c r="H221" s="39">
        <v>1.46</v>
      </c>
      <c r="I221" s="43"/>
      <c r="J221" s="43"/>
      <c r="K221" s="43"/>
      <c r="L221" s="43"/>
      <c r="M221" s="43"/>
      <c r="N221" s="43"/>
      <c r="O221" s="50"/>
      <c r="P221" s="50"/>
      <c r="Q221" s="32">
        <f t="shared" si="1"/>
        <v>0.02489318182</v>
      </c>
    </row>
    <row r="222">
      <c r="A222" s="16">
        <v>5.0</v>
      </c>
      <c r="B222" s="33" t="s">
        <v>38</v>
      </c>
      <c r="C222" s="33" t="s">
        <v>15</v>
      </c>
      <c r="D222" s="33"/>
      <c r="E222" s="33"/>
      <c r="F222" s="38">
        <v>5.902</v>
      </c>
      <c r="G222" s="36">
        <v>2175550.0</v>
      </c>
      <c r="H222" s="39">
        <v>68.57</v>
      </c>
      <c r="I222" s="43"/>
      <c r="J222" s="43"/>
      <c r="K222" s="43"/>
      <c r="L222" s="43"/>
      <c r="M222" s="43"/>
      <c r="N222" s="43"/>
      <c r="O222" s="50"/>
      <c r="P222" s="50"/>
      <c r="Q222" s="32">
        <f t="shared" si="1"/>
        <v>0.9927636364</v>
      </c>
    </row>
    <row r="223">
      <c r="A223" s="16">
        <v>6.0</v>
      </c>
      <c r="B223" s="33" t="s">
        <v>38</v>
      </c>
      <c r="C223" s="33" t="s">
        <v>17</v>
      </c>
      <c r="D223" s="33"/>
      <c r="E223" s="33"/>
      <c r="F223" s="38">
        <v>6.449</v>
      </c>
      <c r="G223" s="36">
        <v>393163.0</v>
      </c>
      <c r="H223" s="39">
        <v>12.39</v>
      </c>
      <c r="I223" s="43"/>
      <c r="J223" s="43"/>
      <c r="K223" s="43"/>
      <c r="L223" s="43"/>
      <c r="M223" s="43"/>
      <c r="N223" s="43"/>
      <c r="O223" s="50"/>
      <c r="P223" s="50"/>
      <c r="Q223" s="32">
        <f t="shared" si="1"/>
        <v>0.1825877273</v>
      </c>
    </row>
  </sheetData>
  <conditionalFormatting sqref="A2:Q223">
    <cfRule type="expression" dxfId="0" priority="1">
      <formula>ISODD(MATCH($B2,UNIQUE($B$2:$B223),0))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.13"/>
    <col customWidth="1" min="2" max="2" width="10.63"/>
    <col customWidth="1" min="3" max="3" width="14.5"/>
    <col customWidth="1" min="4" max="4" width="9.63"/>
    <col customWidth="1" min="5" max="5" width="17.75"/>
    <col customWidth="1" min="6" max="6" width="7.0"/>
    <col customWidth="1" min="7" max="7" width="8.25"/>
    <col customWidth="1" min="8" max="8" width="10.63"/>
    <col customWidth="1" min="9" max="9" width="9.13"/>
  </cols>
  <sheetData>
    <row r="1">
      <c r="A1" s="21" t="s">
        <v>71</v>
      </c>
      <c r="B1" s="21" t="s">
        <v>70</v>
      </c>
      <c r="C1" s="21" t="s">
        <v>2</v>
      </c>
      <c r="D1" s="21" t="s">
        <v>3</v>
      </c>
      <c r="E1" s="21" t="s">
        <v>4</v>
      </c>
      <c r="F1" s="23" t="s">
        <v>5</v>
      </c>
      <c r="G1" s="22" t="s">
        <v>6</v>
      </c>
      <c r="H1" s="24" t="s">
        <v>7</v>
      </c>
      <c r="I1" s="25" t="s">
        <v>8</v>
      </c>
    </row>
    <row r="2">
      <c r="A2" s="26">
        <v>1.0</v>
      </c>
      <c r="B2" s="27" t="s">
        <v>9</v>
      </c>
      <c r="C2" s="11"/>
      <c r="D2" s="29"/>
      <c r="E2" s="27"/>
      <c r="F2" s="29">
        <v>4.117</v>
      </c>
      <c r="G2" s="30">
        <v>1675.0</v>
      </c>
      <c r="H2" s="31">
        <v>0.14</v>
      </c>
      <c r="I2" s="32">
        <f t="shared" ref="I2:I201" si="1">IF(OR(G2="",G2="-"),"",(G2+8530)/2200000)</f>
        <v>0.004638636364</v>
      </c>
    </row>
    <row r="3">
      <c r="A3" s="26">
        <v>2.0</v>
      </c>
      <c r="B3" s="27" t="s">
        <v>9</v>
      </c>
      <c r="C3" s="27" t="s">
        <v>80</v>
      </c>
      <c r="D3" s="29"/>
      <c r="E3" s="27"/>
      <c r="F3" s="29">
        <v>4.496</v>
      </c>
      <c r="G3" s="30">
        <v>3004.0</v>
      </c>
      <c r="H3" s="31">
        <v>0.25</v>
      </c>
      <c r="I3" s="32">
        <f t="shared" si="1"/>
        <v>0.005242727273</v>
      </c>
    </row>
    <row r="4">
      <c r="A4" s="26">
        <v>3.0</v>
      </c>
      <c r="B4" s="27" t="s">
        <v>9</v>
      </c>
      <c r="C4" s="27" t="s">
        <v>10</v>
      </c>
      <c r="D4" s="29">
        <v>0.0</v>
      </c>
      <c r="E4" s="27" t="s">
        <v>11</v>
      </c>
      <c r="F4" s="29">
        <v>4.733</v>
      </c>
      <c r="G4" s="30">
        <v>1204950.0</v>
      </c>
      <c r="H4" s="31">
        <v>98.79</v>
      </c>
      <c r="I4" s="32">
        <f t="shared" si="1"/>
        <v>0.5515818182</v>
      </c>
    </row>
    <row r="5">
      <c r="A5" s="26">
        <v>5.0</v>
      </c>
      <c r="B5" s="27" t="s">
        <v>9</v>
      </c>
      <c r="C5" s="27" t="s">
        <v>82</v>
      </c>
      <c r="D5" s="29"/>
      <c r="E5" s="27"/>
      <c r="F5" s="29">
        <v>4.9</v>
      </c>
      <c r="G5" s="30"/>
      <c r="H5" s="31"/>
      <c r="I5" s="32" t="str">
        <f t="shared" si="1"/>
        <v/>
      </c>
    </row>
    <row r="6">
      <c r="A6" s="26">
        <v>6.0</v>
      </c>
      <c r="B6" s="27" t="s">
        <v>9</v>
      </c>
      <c r="C6" s="27" t="s">
        <v>13</v>
      </c>
      <c r="D6" s="29">
        <v>1.0</v>
      </c>
      <c r="E6" s="27"/>
      <c r="F6" s="29">
        <v>5.79</v>
      </c>
      <c r="G6" s="51"/>
      <c r="H6" s="31"/>
      <c r="I6" s="32" t="str">
        <f t="shared" si="1"/>
        <v/>
      </c>
    </row>
    <row r="7">
      <c r="A7" s="26">
        <v>7.0</v>
      </c>
      <c r="B7" s="27" t="s">
        <v>9</v>
      </c>
      <c r="C7" s="27" t="s">
        <v>15</v>
      </c>
      <c r="D7" s="29">
        <v>1.0</v>
      </c>
      <c r="E7" s="27"/>
      <c r="F7" s="29">
        <v>5.861</v>
      </c>
      <c r="G7" s="30">
        <v>3931.0</v>
      </c>
      <c r="H7" s="31">
        <v>0.32</v>
      </c>
      <c r="I7" s="32">
        <f t="shared" si="1"/>
        <v>0.005664090909</v>
      </c>
    </row>
    <row r="8">
      <c r="A8" s="26">
        <v>8.0</v>
      </c>
      <c r="B8" s="52" t="s">
        <v>9</v>
      </c>
      <c r="C8" s="27" t="s">
        <v>17</v>
      </c>
      <c r="D8" s="53">
        <v>2.0</v>
      </c>
      <c r="E8" s="27"/>
      <c r="F8" s="35">
        <v>6.427</v>
      </c>
      <c r="G8" s="30">
        <v>1638.0</v>
      </c>
      <c r="H8" s="54">
        <v>0.13</v>
      </c>
      <c r="I8" s="32">
        <f t="shared" si="1"/>
        <v>0.004621818182</v>
      </c>
    </row>
    <row r="9">
      <c r="A9" s="55">
        <v>9.0</v>
      </c>
      <c r="B9" s="52" t="s">
        <v>9</v>
      </c>
      <c r="C9" s="52"/>
      <c r="D9" s="56"/>
      <c r="E9" s="27"/>
      <c r="F9" s="57">
        <v>7.333</v>
      </c>
      <c r="G9" s="58">
        <v>4515.0</v>
      </c>
      <c r="H9" s="54">
        <v>0.37</v>
      </c>
      <c r="I9" s="32">
        <f t="shared" si="1"/>
        <v>0.005929545455</v>
      </c>
    </row>
    <row r="10">
      <c r="A10" s="16">
        <v>1.0</v>
      </c>
      <c r="B10" s="33" t="s">
        <v>12</v>
      </c>
      <c r="C10" s="33"/>
      <c r="D10" s="35"/>
      <c r="E10" s="27"/>
      <c r="F10" s="35">
        <v>4.121</v>
      </c>
      <c r="G10" s="36">
        <v>1717.0</v>
      </c>
      <c r="H10" s="39">
        <v>0.16</v>
      </c>
      <c r="I10" s="32">
        <f t="shared" si="1"/>
        <v>0.004657727273</v>
      </c>
    </row>
    <row r="11">
      <c r="A11" s="16">
        <v>2.0</v>
      </c>
      <c r="B11" s="33" t="s">
        <v>12</v>
      </c>
      <c r="C11" s="33" t="s">
        <v>80</v>
      </c>
      <c r="D11" s="35"/>
      <c r="E11" s="27"/>
      <c r="F11" s="35">
        <v>4.489</v>
      </c>
      <c r="G11" s="40">
        <v>3586.0</v>
      </c>
      <c r="H11" s="39">
        <v>0.32</v>
      </c>
      <c r="I11" s="32">
        <f t="shared" si="1"/>
        <v>0.005507272727</v>
      </c>
    </row>
    <row r="12">
      <c r="A12" s="16">
        <v>3.0</v>
      </c>
      <c r="B12" s="33" t="s">
        <v>12</v>
      </c>
      <c r="C12" s="33" t="s">
        <v>10</v>
      </c>
      <c r="D12" s="35">
        <v>0.0</v>
      </c>
      <c r="E12" s="27" t="s">
        <v>11</v>
      </c>
      <c r="F12" s="35">
        <v>4.74</v>
      </c>
      <c r="G12" s="36">
        <v>636459.0</v>
      </c>
      <c r="H12" s="39">
        <v>57.59</v>
      </c>
      <c r="I12" s="32">
        <f t="shared" si="1"/>
        <v>0.2931768182</v>
      </c>
    </row>
    <row r="13">
      <c r="A13" s="16">
        <v>4.0</v>
      </c>
      <c r="B13" s="33" t="s">
        <v>12</v>
      </c>
      <c r="C13" s="33" t="s">
        <v>82</v>
      </c>
      <c r="D13" s="35"/>
      <c r="E13" s="27"/>
      <c r="F13" s="35">
        <v>4.9</v>
      </c>
      <c r="G13" s="36"/>
      <c r="H13" s="39"/>
      <c r="I13" s="32" t="str">
        <f t="shared" si="1"/>
        <v/>
      </c>
    </row>
    <row r="14">
      <c r="A14" s="16">
        <v>5.0</v>
      </c>
      <c r="B14" s="33" t="s">
        <v>12</v>
      </c>
      <c r="C14" s="33" t="s">
        <v>13</v>
      </c>
      <c r="D14" s="35">
        <v>1.0</v>
      </c>
      <c r="E14" s="27" t="s">
        <v>14</v>
      </c>
      <c r="F14" s="35">
        <v>5.753</v>
      </c>
      <c r="G14" s="36">
        <v>20666.0</v>
      </c>
      <c r="H14" s="39">
        <v>1.87</v>
      </c>
      <c r="I14" s="32">
        <f t="shared" si="1"/>
        <v>0.01327090909</v>
      </c>
    </row>
    <row r="15">
      <c r="A15" s="16">
        <v>6.0</v>
      </c>
      <c r="B15" s="33" t="s">
        <v>12</v>
      </c>
      <c r="C15" s="33" t="s">
        <v>15</v>
      </c>
      <c r="D15" s="35">
        <v>1.0</v>
      </c>
      <c r="E15" s="27" t="s">
        <v>16</v>
      </c>
      <c r="F15" s="35">
        <v>5.871</v>
      </c>
      <c r="G15" s="36">
        <v>415908.0</v>
      </c>
      <c r="H15" s="39">
        <v>37.63</v>
      </c>
      <c r="I15" s="32">
        <f t="shared" si="1"/>
        <v>0.1929263636</v>
      </c>
    </row>
    <row r="16">
      <c r="A16" s="16">
        <v>7.0</v>
      </c>
      <c r="B16" s="33" t="s">
        <v>12</v>
      </c>
      <c r="C16" s="33" t="s">
        <v>17</v>
      </c>
      <c r="D16" s="35">
        <v>2.0</v>
      </c>
      <c r="E16" s="27" t="s">
        <v>18</v>
      </c>
      <c r="F16" s="35">
        <v>6.429</v>
      </c>
      <c r="G16" s="36">
        <v>21498.0</v>
      </c>
      <c r="H16" s="39">
        <v>1.95</v>
      </c>
      <c r="I16" s="32">
        <f t="shared" si="1"/>
        <v>0.01364909091</v>
      </c>
    </row>
    <row r="17">
      <c r="A17" s="16">
        <v>8.0</v>
      </c>
      <c r="B17" s="33" t="s">
        <v>12</v>
      </c>
      <c r="C17" s="33"/>
      <c r="D17" s="35"/>
      <c r="E17" s="27" t="s">
        <v>22</v>
      </c>
      <c r="F17" s="35">
        <v>6.772</v>
      </c>
      <c r="G17" s="36">
        <v>239.0</v>
      </c>
      <c r="H17" s="39">
        <v>0.02</v>
      </c>
      <c r="I17" s="32">
        <f t="shared" si="1"/>
        <v>0.003985909091</v>
      </c>
    </row>
    <row r="18">
      <c r="A18" s="16">
        <v>9.0</v>
      </c>
      <c r="B18" s="33" t="s">
        <v>12</v>
      </c>
      <c r="C18" s="33"/>
      <c r="D18" s="35">
        <v>3.0</v>
      </c>
      <c r="E18" s="27"/>
      <c r="F18" s="35">
        <v>7.054</v>
      </c>
      <c r="G18" s="36">
        <v>976.0</v>
      </c>
      <c r="H18" s="39">
        <v>0.09</v>
      </c>
      <c r="I18" s="32">
        <f t="shared" si="1"/>
        <v>0.004320909091</v>
      </c>
    </row>
    <row r="19">
      <c r="A19" s="16">
        <v>10.0</v>
      </c>
      <c r="B19" s="33" t="s">
        <v>12</v>
      </c>
      <c r="C19" s="33"/>
      <c r="D19" s="35">
        <v>3.0</v>
      </c>
      <c r="E19" s="27"/>
      <c r="F19" s="35">
        <v>7.335</v>
      </c>
      <c r="G19" s="36">
        <v>4200.0</v>
      </c>
      <c r="H19" s="39">
        <v>0.38</v>
      </c>
      <c r="I19" s="32">
        <f t="shared" si="1"/>
        <v>0.005786363636</v>
      </c>
    </row>
    <row r="20">
      <c r="A20" s="16">
        <v>1.0</v>
      </c>
      <c r="B20" s="33" t="s">
        <v>21</v>
      </c>
      <c r="C20" s="33" t="s">
        <v>80</v>
      </c>
      <c r="D20" s="35"/>
      <c r="E20" s="27"/>
      <c r="F20" s="35">
        <v>4.494</v>
      </c>
      <c r="G20" s="36">
        <v>3467.0</v>
      </c>
      <c r="H20" s="39">
        <v>0.31</v>
      </c>
      <c r="I20" s="32">
        <f t="shared" si="1"/>
        <v>0.005453181818</v>
      </c>
    </row>
    <row r="21">
      <c r="A21" s="16">
        <v>2.0</v>
      </c>
      <c r="B21" s="33" t="s">
        <v>21</v>
      </c>
      <c r="C21" s="33" t="s">
        <v>10</v>
      </c>
      <c r="D21" s="35">
        <v>0.0</v>
      </c>
      <c r="E21" s="27" t="s">
        <v>11</v>
      </c>
      <c r="F21" s="35">
        <v>4.744</v>
      </c>
      <c r="G21" s="36">
        <v>465682.0</v>
      </c>
      <c r="H21" s="39">
        <v>41.06</v>
      </c>
      <c r="I21" s="32">
        <f t="shared" si="1"/>
        <v>0.2155509091</v>
      </c>
    </row>
    <row r="22">
      <c r="A22" s="16">
        <v>3.0</v>
      </c>
      <c r="B22" s="33" t="s">
        <v>21</v>
      </c>
      <c r="C22" s="33" t="s">
        <v>82</v>
      </c>
      <c r="D22" s="35"/>
      <c r="E22" s="27"/>
      <c r="F22" s="35">
        <v>4.9</v>
      </c>
      <c r="G22" s="59"/>
      <c r="H22" s="60"/>
      <c r="I22" s="32" t="str">
        <f t="shared" si="1"/>
        <v/>
      </c>
    </row>
    <row r="23">
      <c r="A23" s="16">
        <v>4.0</v>
      </c>
      <c r="B23" s="33" t="s">
        <v>21</v>
      </c>
      <c r="C23" s="33" t="s">
        <v>13</v>
      </c>
      <c r="D23" s="35">
        <v>1.0</v>
      </c>
      <c r="E23" s="27" t="s">
        <v>14</v>
      </c>
      <c r="F23" s="35">
        <v>5.751</v>
      </c>
      <c r="G23" s="36">
        <v>24417.0</v>
      </c>
      <c r="H23" s="39">
        <v>2.15</v>
      </c>
      <c r="I23" s="32">
        <f t="shared" si="1"/>
        <v>0.01497590909</v>
      </c>
    </row>
    <row r="24">
      <c r="A24" s="16">
        <v>5.0</v>
      </c>
      <c r="B24" s="33" t="s">
        <v>21</v>
      </c>
      <c r="C24" s="33" t="s">
        <v>15</v>
      </c>
      <c r="D24" s="35">
        <v>1.0</v>
      </c>
      <c r="E24" s="27" t="s">
        <v>16</v>
      </c>
      <c r="F24" s="35">
        <v>5.873</v>
      </c>
      <c r="G24" s="36">
        <v>586392.0</v>
      </c>
      <c r="H24" s="39">
        <v>51.7</v>
      </c>
      <c r="I24" s="32">
        <f t="shared" si="1"/>
        <v>0.2704190909</v>
      </c>
    </row>
    <row r="25">
      <c r="A25" s="16">
        <v>6.0</v>
      </c>
      <c r="B25" s="33" t="s">
        <v>21</v>
      </c>
      <c r="C25" s="33" t="s">
        <v>17</v>
      </c>
      <c r="D25" s="35">
        <v>2.0</v>
      </c>
      <c r="E25" s="27" t="s">
        <v>18</v>
      </c>
      <c r="F25" s="35">
        <v>6.428</v>
      </c>
      <c r="G25" s="36">
        <v>46231.0</v>
      </c>
      <c r="H25" s="39">
        <v>4.08</v>
      </c>
      <c r="I25" s="32">
        <f t="shared" si="1"/>
        <v>0.02489136364</v>
      </c>
    </row>
    <row r="26">
      <c r="A26" s="16">
        <v>7.0</v>
      </c>
      <c r="B26" s="33" t="s">
        <v>21</v>
      </c>
      <c r="C26" s="33"/>
      <c r="D26" s="35">
        <v>2.0</v>
      </c>
      <c r="E26" s="27" t="s">
        <v>19</v>
      </c>
      <c r="F26" s="35">
        <v>6.659</v>
      </c>
      <c r="G26" s="36">
        <v>1595.0</v>
      </c>
      <c r="H26" s="39">
        <v>0.14</v>
      </c>
      <c r="I26" s="32">
        <f t="shared" si="1"/>
        <v>0.004602272727</v>
      </c>
    </row>
    <row r="27">
      <c r="A27" s="16">
        <v>8.0</v>
      </c>
      <c r="B27" s="33" t="s">
        <v>21</v>
      </c>
      <c r="C27" s="33"/>
      <c r="D27" s="35">
        <v>3.0</v>
      </c>
      <c r="E27" s="27"/>
      <c r="F27" s="35">
        <v>7.054</v>
      </c>
      <c r="G27" s="36">
        <v>2543.0</v>
      </c>
      <c r="H27" s="39">
        <v>0.22</v>
      </c>
      <c r="I27" s="32">
        <f t="shared" si="1"/>
        <v>0.005033181818</v>
      </c>
    </row>
    <row r="28">
      <c r="A28" s="16">
        <v>9.0</v>
      </c>
      <c r="B28" s="33" t="s">
        <v>21</v>
      </c>
      <c r="C28" s="33"/>
      <c r="D28" s="35">
        <v>3.0</v>
      </c>
      <c r="E28" s="27"/>
      <c r="F28" s="35">
        <v>7.335</v>
      </c>
      <c r="G28" s="36">
        <v>3952.0</v>
      </c>
      <c r="H28" s="39">
        <v>0.35</v>
      </c>
      <c r="I28" s="32">
        <f t="shared" si="1"/>
        <v>0.005673636364</v>
      </c>
    </row>
    <row r="29">
      <c r="A29" s="16">
        <v>1.0</v>
      </c>
      <c r="B29" s="33" t="s">
        <v>23</v>
      </c>
      <c r="C29" s="33" t="s">
        <v>80</v>
      </c>
      <c r="D29" s="35"/>
      <c r="E29" s="27"/>
      <c r="F29" s="41">
        <v>4.491</v>
      </c>
      <c r="G29" s="36">
        <v>4388.0</v>
      </c>
      <c r="H29" s="39">
        <v>0.39</v>
      </c>
      <c r="I29" s="32">
        <f t="shared" si="1"/>
        <v>0.005871818182</v>
      </c>
    </row>
    <row r="30">
      <c r="A30" s="16">
        <v>2.0</v>
      </c>
      <c r="B30" s="33" t="s">
        <v>23</v>
      </c>
      <c r="C30" s="33" t="s">
        <v>10</v>
      </c>
      <c r="D30" s="35">
        <v>0.0</v>
      </c>
      <c r="E30" s="27" t="s">
        <v>11</v>
      </c>
      <c r="F30" s="41">
        <v>4.741</v>
      </c>
      <c r="G30" s="36">
        <v>384922.0</v>
      </c>
      <c r="H30" s="39">
        <v>34.18</v>
      </c>
      <c r="I30" s="32">
        <f t="shared" si="1"/>
        <v>0.1788418182</v>
      </c>
    </row>
    <row r="31">
      <c r="A31" s="16">
        <v>3.0</v>
      </c>
      <c r="B31" s="33" t="s">
        <v>23</v>
      </c>
      <c r="C31" s="33" t="s">
        <v>82</v>
      </c>
      <c r="D31" s="35"/>
      <c r="E31" s="27"/>
      <c r="F31" s="35">
        <v>4.9</v>
      </c>
      <c r="G31" s="36"/>
      <c r="H31" s="39"/>
      <c r="I31" s="32" t="str">
        <f t="shared" si="1"/>
        <v/>
      </c>
    </row>
    <row r="32">
      <c r="A32" s="16">
        <v>4.0</v>
      </c>
      <c r="B32" s="33" t="s">
        <v>23</v>
      </c>
      <c r="C32" s="33" t="s">
        <v>13</v>
      </c>
      <c r="D32" s="35">
        <v>1.0</v>
      </c>
      <c r="E32" s="27" t="s">
        <v>14</v>
      </c>
      <c r="F32" s="35">
        <v>5.751</v>
      </c>
      <c r="G32" s="36">
        <v>23685.0</v>
      </c>
      <c r="H32" s="39">
        <v>2.1</v>
      </c>
      <c r="I32" s="32">
        <f t="shared" si="1"/>
        <v>0.01464318182</v>
      </c>
    </row>
    <row r="33">
      <c r="A33" s="16">
        <v>5.0</v>
      </c>
      <c r="B33" s="33" t="s">
        <v>23</v>
      </c>
      <c r="C33" s="33" t="s">
        <v>15</v>
      </c>
      <c r="D33" s="35">
        <v>1.0</v>
      </c>
      <c r="E33" s="27" t="s">
        <v>16</v>
      </c>
      <c r="F33" s="35">
        <v>5.874</v>
      </c>
      <c r="G33" s="36">
        <v>639656.0</v>
      </c>
      <c r="H33" s="39">
        <v>56.8</v>
      </c>
      <c r="I33" s="32">
        <f t="shared" si="1"/>
        <v>0.29463</v>
      </c>
    </row>
    <row r="34">
      <c r="A34" s="16">
        <v>6.0</v>
      </c>
      <c r="B34" s="33" t="s">
        <v>23</v>
      </c>
      <c r="C34" s="33" t="s">
        <v>17</v>
      </c>
      <c r="D34" s="35">
        <v>2.0</v>
      </c>
      <c r="E34" s="27" t="s">
        <v>18</v>
      </c>
      <c r="F34" s="35">
        <v>6.428</v>
      </c>
      <c r="G34" s="36">
        <v>62730.0</v>
      </c>
      <c r="H34" s="39">
        <v>5.57</v>
      </c>
      <c r="I34" s="32">
        <f t="shared" si="1"/>
        <v>0.03239090909</v>
      </c>
    </row>
    <row r="35">
      <c r="A35" s="16">
        <v>7.0</v>
      </c>
      <c r="B35" s="33" t="s">
        <v>23</v>
      </c>
      <c r="C35" s="33"/>
      <c r="D35" s="35">
        <v>2.0</v>
      </c>
      <c r="E35" s="27" t="s">
        <v>19</v>
      </c>
      <c r="F35" s="35">
        <v>6.658</v>
      </c>
      <c r="G35" s="36">
        <v>2477.0</v>
      </c>
      <c r="H35" s="39">
        <v>0.22</v>
      </c>
      <c r="I35" s="32">
        <f t="shared" si="1"/>
        <v>0.005003181818</v>
      </c>
    </row>
    <row r="36">
      <c r="A36" s="16">
        <v>8.0</v>
      </c>
      <c r="B36" s="33" t="s">
        <v>23</v>
      </c>
      <c r="C36" s="33"/>
      <c r="D36" s="35">
        <v>3.0</v>
      </c>
      <c r="E36" s="27"/>
      <c r="F36" s="35">
        <v>7.055</v>
      </c>
      <c r="G36" s="36">
        <v>2448.0</v>
      </c>
      <c r="H36" s="39">
        <v>0.22</v>
      </c>
      <c r="I36" s="32">
        <f t="shared" si="1"/>
        <v>0.00499</v>
      </c>
    </row>
    <row r="37">
      <c r="A37" s="16">
        <v>9.0</v>
      </c>
      <c r="B37" s="33" t="s">
        <v>23</v>
      </c>
      <c r="C37" s="33"/>
      <c r="D37" s="35"/>
      <c r="E37" s="27" t="s">
        <v>20</v>
      </c>
      <c r="F37" s="35">
        <v>7.157</v>
      </c>
      <c r="G37" s="36">
        <v>1556.0</v>
      </c>
      <c r="H37" s="39">
        <v>0.14</v>
      </c>
      <c r="I37" s="32">
        <f t="shared" si="1"/>
        <v>0.004584545455</v>
      </c>
    </row>
    <row r="38">
      <c r="A38" s="16">
        <v>10.0</v>
      </c>
      <c r="B38" s="33" t="s">
        <v>23</v>
      </c>
      <c r="C38" s="33"/>
      <c r="D38" s="35">
        <v>3.0</v>
      </c>
      <c r="E38" s="27"/>
      <c r="F38" s="35">
        <v>7.332</v>
      </c>
      <c r="G38" s="36">
        <v>4388.0</v>
      </c>
      <c r="H38" s="39">
        <v>0.39</v>
      </c>
      <c r="I38" s="32">
        <f t="shared" si="1"/>
        <v>0.005871818182</v>
      </c>
    </row>
    <row r="39">
      <c r="A39" s="16">
        <v>1.0</v>
      </c>
      <c r="B39" s="33" t="s">
        <v>24</v>
      </c>
      <c r="C39" s="33" t="s">
        <v>80</v>
      </c>
      <c r="D39" s="35"/>
      <c r="E39" s="27"/>
      <c r="F39" s="35">
        <v>4.495</v>
      </c>
      <c r="G39" s="36">
        <v>3139.0</v>
      </c>
      <c r="H39" s="39">
        <v>0.28</v>
      </c>
      <c r="I39" s="32">
        <f t="shared" si="1"/>
        <v>0.005304090909</v>
      </c>
    </row>
    <row r="40">
      <c r="A40" s="16">
        <v>2.0</v>
      </c>
      <c r="B40" s="33" t="s">
        <v>24</v>
      </c>
      <c r="C40" s="33" t="s">
        <v>10</v>
      </c>
      <c r="D40" s="35">
        <v>0.0</v>
      </c>
      <c r="E40" s="27" t="s">
        <v>11</v>
      </c>
      <c r="F40" s="35">
        <v>4.744</v>
      </c>
      <c r="G40" s="36">
        <v>331698.0</v>
      </c>
      <c r="H40" s="39">
        <v>29.51</v>
      </c>
      <c r="I40" s="32">
        <f t="shared" si="1"/>
        <v>0.1546490909</v>
      </c>
    </row>
    <row r="41">
      <c r="A41" s="16">
        <v>3.0</v>
      </c>
      <c r="B41" s="33" t="s">
        <v>24</v>
      </c>
      <c r="C41" s="33" t="s">
        <v>82</v>
      </c>
      <c r="D41" s="35"/>
      <c r="E41" s="27"/>
      <c r="F41" s="35">
        <v>4.9</v>
      </c>
      <c r="G41" s="46"/>
      <c r="H41" s="43"/>
      <c r="I41" s="32" t="str">
        <f t="shared" si="1"/>
        <v/>
      </c>
    </row>
    <row r="42">
      <c r="A42" s="16">
        <v>4.0</v>
      </c>
      <c r="B42" s="33" t="s">
        <v>24</v>
      </c>
      <c r="C42" s="33" t="s">
        <v>13</v>
      </c>
      <c r="D42" s="38">
        <v>1.0</v>
      </c>
      <c r="E42" s="27" t="s">
        <v>14</v>
      </c>
      <c r="F42" s="38">
        <v>5.752</v>
      </c>
      <c r="G42" s="36">
        <v>22919.0</v>
      </c>
      <c r="H42" s="39">
        <v>2.04</v>
      </c>
      <c r="I42" s="32">
        <f t="shared" si="1"/>
        <v>0.014295</v>
      </c>
    </row>
    <row r="43">
      <c r="A43" s="16">
        <v>5.0</v>
      </c>
      <c r="B43" s="33" t="s">
        <v>24</v>
      </c>
      <c r="C43" s="33" t="s">
        <v>15</v>
      </c>
      <c r="D43" s="38">
        <v>1.0</v>
      </c>
      <c r="E43" s="27" t="s">
        <v>16</v>
      </c>
      <c r="F43" s="38">
        <v>5.875</v>
      </c>
      <c r="G43" s="36">
        <v>678601.0</v>
      </c>
      <c r="H43" s="39">
        <v>60.36</v>
      </c>
      <c r="I43" s="32">
        <f t="shared" si="1"/>
        <v>0.3123322727</v>
      </c>
    </row>
    <row r="44">
      <c r="A44" s="16">
        <v>6.0</v>
      </c>
      <c r="B44" s="33" t="s">
        <v>24</v>
      </c>
      <c r="C44" s="33" t="s">
        <v>17</v>
      </c>
      <c r="D44" s="38">
        <v>2.0</v>
      </c>
      <c r="E44" s="27" t="s">
        <v>18</v>
      </c>
      <c r="F44" s="38">
        <v>6.429</v>
      </c>
      <c r="G44" s="36">
        <v>73854.0</v>
      </c>
      <c r="H44" s="39">
        <v>6.57</v>
      </c>
      <c r="I44" s="32">
        <f t="shared" si="1"/>
        <v>0.03744727273</v>
      </c>
    </row>
    <row r="45">
      <c r="A45" s="16">
        <v>7.0</v>
      </c>
      <c r="B45" s="33" t="s">
        <v>24</v>
      </c>
      <c r="C45" s="33"/>
      <c r="D45" s="38">
        <v>2.0</v>
      </c>
      <c r="E45" s="27" t="s">
        <v>19</v>
      </c>
      <c r="F45" s="38">
        <v>6.66</v>
      </c>
      <c r="G45" s="36">
        <v>3288.0</v>
      </c>
      <c r="H45" s="39">
        <v>0.29</v>
      </c>
      <c r="I45" s="32">
        <f t="shared" si="1"/>
        <v>0.005371818182</v>
      </c>
    </row>
    <row r="46">
      <c r="A46" s="16">
        <v>8.0</v>
      </c>
      <c r="B46" s="33" t="s">
        <v>24</v>
      </c>
      <c r="C46" s="33"/>
      <c r="D46" s="38">
        <v>2.0</v>
      </c>
      <c r="E46" s="27" t="s">
        <v>22</v>
      </c>
      <c r="F46" s="38">
        <v>6.718</v>
      </c>
      <c r="G46" s="36">
        <v>204.0</v>
      </c>
      <c r="H46" s="39">
        <v>0.02</v>
      </c>
      <c r="I46" s="32">
        <f t="shared" si="1"/>
        <v>0.00397</v>
      </c>
    </row>
    <row r="47">
      <c r="A47" s="16">
        <v>9.0</v>
      </c>
      <c r="B47" s="33" t="s">
        <v>24</v>
      </c>
      <c r="C47" s="33"/>
      <c r="D47" s="38">
        <v>3.0</v>
      </c>
      <c r="E47" s="27"/>
      <c r="F47" s="38">
        <v>7.053</v>
      </c>
      <c r="G47" s="36">
        <v>3427.0</v>
      </c>
      <c r="H47" s="39">
        <v>0.3</v>
      </c>
      <c r="I47" s="32">
        <f t="shared" si="1"/>
        <v>0.005435</v>
      </c>
    </row>
    <row r="48">
      <c r="A48" s="16">
        <v>10.0</v>
      </c>
      <c r="B48" s="33" t="s">
        <v>24</v>
      </c>
      <c r="C48" s="33"/>
      <c r="D48" s="38"/>
      <c r="E48" s="27" t="s">
        <v>20</v>
      </c>
      <c r="F48" s="38">
        <v>7.158</v>
      </c>
      <c r="G48" s="36">
        <v>2311.0</v>
      </c>
      <c r="H48" s="39">
        <v>0.21</v>
      </c>
      <c r="I48" s="32">
        <f t="shared" si="1"/>
        <v>0.004927727273</v>
      </c>
    </row>
    <row r="49">
      <c r="A49" s="16">
        <v>11.0</v>
      </c>
      <c r="B49" s="33" t="s">
        <v>24</v>
      </c>
      <c r="C49" s="33"/>
      <c r="D49" s="38">
        <v>3.0</v>
      </c>
      <c r="E49" s="27"/>
      <c r="F49" s="38">
        <v>7.327</v>
      </c>
      <c r="G49" s="36">
        <v>4748.0</v>
      </c>
      <c r="H49" s="39">
        <v>0.42</v>
      </c>
      <c r="I49" s="32">
        <f t="shared" si="1"/>
        <v>0.006035454545</v>
      </c>
    </row>
    <row r="50">
      <c r="A50" s="16">
        <v>1.0</v>
      </c>
      <c r="B50" s="33" t="s">
        <v>25</v>
      </c>
      <c r="C50" s="33" t="s">
        <v>80</v>
      </c>
      <c r="D50" s="35"/>
      <c r="E50" s="27"/>
      <c r="F50" s="35">
        <v>4.488</v>
      </c>
      <c r="G50" s="36">
        <v>4325.0</v>
      </c>
      <c r="H50" s="39">
        <v>0.36</v>
      </c>
      <c r="I50" s="32">
        <f t="shared" si="1"/>
        <v>0.005843181818</v>
      </c>
    </row>
    <row r="51">
      <c r="A51" s="16">
        <v>2.0</v>
      </c>
      <c r="B51" s="33" t="s">
        <v>25</v>
      </c>
      <c r="C51" s="33" t="s">
        <v>10</v>
      </c>
      <c r="D51" s="35">
        <v>0.0</v>
      </c>
      <c r="E51" s="27" t="s">
        <v>11</v>
      </c>
      <c r="F51" s="35">
        <v>4.741</v>
      </c>
      <c r="G51" s="36">
        <v>339452.0</v>
      </c>
      <c r="H51" s="39">
        <v>28.22</v>
      </c>
      <c r="I51" s="32">
        <f t="shared" si="1"/>
        <v>0.1581736364</v>
      </c>
    </row>
    <row r="52">
      <c r="A52" s="16">
        <v>3.0</v>
      </c>
      <c r="B52" s="33" t="s">
        <v>25</v>
      </c>
      <c r="C52" s="33" t="s">
        <v>82</v>
      </c>
      <c r="D52" s="35"/>
      <c r="E52" s="27"/>
      <c r="F52" s="35">
        <v>4.9</v>
      </c>
      <c r="G52" s="36"/>
      <c r="H52" s="39"/>
      <c r="I52" s="32" t="str">
        <f t="shared" si="1"/>
        <v/>
      </c>
    </row>
    <row r="53">
      <c r="A53" s="16">
        <v>4.0</v>
      </c>
      <c r="B53" s="33" t="s">
        <v>25</v>
      </c>
      <c r="C53" s="33" t="s">
        <v>13</v>
      </c>
      <c r="D53" s="35">
        <v>1.0</v>
      </c>
      <c r="E53" s="27" t="s">
        <v>14</v>
      </c>
      <c r="F53" s="35">
        <v>5.75</v>
      </c>
      <c r="G53" s="36">
        <v>23866.0</v>
      </c>
      <c r="H53" s="39">
        <v>1.98</v>
      </c>
      <c r="I53" s="32">
        <f t="shared" si="1"/>
        <v>0.01472545455</v>
      </c>
    </row>
    <row r="54">
      <c r="A54" s="16">
        <v>5.0</v>
      </c>
      <c r="B54" s="33" t="s">
        <v>25</v>
      </c>
      <c r="C54" s="33" t="s">
        <v>15</v>
      </c>
      <c r="D54" s="35">
        <v>1.0</v>
      </c>
      <c r="E54" s="27" t="s">
        <v>16</v>
      </c>
      <c r="F54" s="35">
        <v>5.874</v>
      </c>
      <c r="G54" s="36">
        <v>734047.0</v>
      </c>
      <c r="H54" s="39">
        <v>61.01</v>
      </c>
      <c r="I54" s="32">
        <f t="shared" si="1"/>
        <v>0.337535</v>
      </c>
    </row>
    <row r="55">
      <c r="A55" s="16">
        <v>6.0</v>
      </c>
      <c r="B55" s="33" t="s">
        <v>25</v>
      </c>
      <c r="C55" s="33" t="s">
        <v>17</v>
      </c>
      <c r="D55" s="35">
        <v>2.0</v>
      </c>
      <c r="E55" s="27" t="s">
        <v>18</v>
      </c>
      <c r="F55" s="35">
        <v>6.428</v>
      </c>
      <c r="G55" s="36">
        <v>85556.0</v>
      </c>
      <c r="H55" s="39">
        <v>7.11</v>
      </c>
      <c r="I55" s="32">
        <f t="shared" si="1"/>
        <v>0.04276636364</v>
      </c>
    </row>
    <row r="56">
      <c r="A56" s="16">
        <v>7.0</v>
      </c>
      <c r="B56" s="33" t="s">
        <v>25</v>
      </c>
      <c r="C56" s="33"/>
      <c r="D56" s="35">
        <v>2.0</v>
      </c>
      <c r="E56" s="27" t="s">
        <v>19</v>
      </c>
      <c r="F56" s="35">
        <v>6.658</v>
      </c>
      <c r="G56" s="36">
        <v>3815.0</v>
      </c>
      <c r="H56" s="39">
        <v>0.32</v>
      </c>
      <c r="I56" s="32">
        <f t="shared" si="1"/>
        <v>0.005611363636</v>
      </c>
    </row>
    <row r="57">
      <c r="A57" s="16">
        <v>8.0</v>
      </c>
      <c r="B57" s="33" t="s">
        <v>25</v>
      </c>
      <c r="C57" s="33"/>
      <c r="D57" s="35">
        <v>3.0</v>
      </c>
      <c r="E57" s="27"/>
      <c r="F57" s="35">
        <v>7.053</v>
      </c>
      <c r="G57" s="36">
        <v>4014.0</v>
      </c>
      <c r="H57" s="39">
        <v>0.33</v>
      </c>
      <c r="I57" s="32">
        <f t="shared" si="1"/>
        <v>0.005701818182</v>
      </c>
    </row>
    <row r="58">
      <c r="A58" s="16">
        <v>9.0</v>
      </c>
      <c r="B58" s="33" t="s">
        <v>25</v>
      </c>
      <c r="C58" s="33"/>
      <c r="D58" s="35"/>
      <c r="E58" s="27" t="s">
        <v>20</v>
      </c>
      <c r="F58" s="35">
        <v>7.158</v>
      </c>
      <c r="G58" s="36">
        <v>2982.0</v>
      </c>
      <c r="H58" s="39">
        <v>0.25</v>
      </c>
      <c r="I58" s="32">
        <f t="shared" si="1"/>
        <v>0.005232727273</v>
      </c>
    </row>
    <row r="59">
      <c r="A59" s="16">
        <v>10.0</v>
      </c>
      <c r="B59" s="33" t="s">
        <v>25</v>
      </c>
      <c r="C59" s="33"/>
      <c r="D59" s="35">
        <v>3.0</v>
      </c>
      <c r="E59" s="27"/>
      <c r="F59" s="35">
        <v>7.33</v>
      </c>
      <c r="G59" s="36">
        <v>5023.0</v>
      </c>
      <c r="H59" s="39">
        <v>0.42</v>
      </c>
      <c r="I59" s="32">
        <f t="shared" si="1"/>
        <v>0.006160454545</v>
      </c>
    </row>
    <row r="60">
      <c r="A60" s="16">
        <v>1.0</v>
      </c>
      <c r="B60" s="33" t="s">
        <v>26</v>
      </c>
      <c r="C60" s="33" t="s">
        <v>80</v>
      </c>
      <c r="D60" s="49"/>
      <c r="E60" s="27"/>
      <c r="F60" s="41">
        <v>4.493</v>
      </c>
      <c r="G60" s="36">
        <v>3176.0</v>
      </c>
      <c r="H60" s="39">
        <v>0.26</v>
      </c>
      <c r="I60" s="32">
        <f t="shared" si="1"/>
        <v>0.005320909091</v>
      </c>
    </row>
    <row r="61">
      <c r="A61" s="16">
        <v>2.0</v>
      </c>
      <c r="B61" s="33" t="s">
        <v>26</v>
      </c>
      <c r="C61" s="33" t="s">
        <v>10</v>
      </c>
      <c r="D61" s="35">
        <v>0.0</v>
      </c>
      <c r="E61" s="27" t="s">
        <v>11</v>
      </c>
      <c r="F61" s="35">
        <v>4.745</v>
      </c>
      <c r="G61" s="36">
        <v>339456.0</v>
      </c>
      <c r="H61" s="39">
        <v>27.61</v>
      </c>
      <c r="I61" s="32">
        <f t="shared" si="1"/>
        <v>0.1581754545</v>
      </c>
    </row>
    <row r="62">
      <c r="A62" s="16">
        <v>3.0</v>
      </c>
      <c r="B62" s="33" t="s">
        <v>26</v>
      </c>
      <c r="C62" s="33" t="s">
        <v>82</v>
      </c>
      <c r="D62" s="35"/>
      <c r="E62" s="27"/>
      <c r="F62" s="35">
        <v>4.9</v>
      </c>
      <c r="G62" s="36"/>
      <c r="H62" s="39"/>
      <c r="I62" s="32" t="str">
        <f t="shared" si="1"/>
        <v/>
      </c>
    </row>
    <row r="63">
      <c r="A63" s="16">
        <v>4.0</v>
      </c>
      <c r="B63" s="33" t="s">
        <v>26</v>
      </c>
      <c r="C63" s="33" t="s">
        <v>13</v>
      </c>
      <c r="D63" s="35">
        <v>1.0</v>
      </c>
      <c r="E63" s="27" t="s">
        <v>14</v>
      </c>
      <c r="F63" s="35">
        <v>5.752</v>
      </c>
      <c r="G63" s="36">
        <v>23296.0</v>
      </c>
      <c r="H63" s="39">
        <v>1.89</v>
      </c>
      <c r="I63" s="32">
        <f t="shared" si="1"/>
        <v>0.01446636364</v>
      </c>
    </row>
    <row r="64">
      <c r="A64" s="16">
        <v>5.0</v>
      </c>
      <c r="B64" s="33" t="s">
        <v>26</v>
      </c>
      <c r="C64" s="33" t="s">
        <v>15</v>
      </c>
      <c r="D64" s="35">
        <v>1.0</v>
      </c>
      <c r="E64" s="27" t="s">
        <v>16</v>
      </c>
      <c r="F64" s="35">
        <v>5.877</v>
      </c>
      <c r="G64" s="36">
        <v>753420.0</v>
      </c>
      <c r="H64" s="39">
        <v>61.28</v>
      </c>
      <c r="I64" s="32">
        <f t="shared" si="1"/>
        <v>0.3463409091</v>
      </c>
    </row>
    <row r="65">
      <c r="A65" s="16">
        <v>6.0</v>
      </c>
      <c r="B65" s="33" t="s">
        <v>26</v>
      </c>
      <c r="C65" s="33" t="s">
        <v>17</v>
      </c>
      <c r="D65" s="35">
        <v>2.0</v>
      </c>
      <c r="E65" s="27" t="s">
        <v>18</v>
      </c>
      <c r="F65" s="35">
        <v>6.429</v>
      </c>
      <c r="G65" s="36">
        <v>93795.0</v>
      </c>
      <c r="H65" s="39">
        <v>7.63</v>
      </c>
      <c r="I65" s="32">
        <f t="shared" si="1"/>
        <v>0.04651136364</v>
      </c>
    </row>
    <row r="66">
      <c r="A66" s="16">
        <v>7.0</v>
      </c>
      <c r="B66" s="33" t="s">
        <v>26</v>
      </c>
      <c r="C66" s="33"/>
      <c r="D66" s="35">
        <v>2.0</v>
      </c>
      <c r="E66" s="27" t="s">
        <v>19</v>
      </c>
      <c r="F66" s="35">
        <v>6.658</v>
      </c>
      <c r="G66" s="36">
        <v>4662.0</v>
      </c>
      <c r="H66" s="39">
        <v>0.38</v>
      </c>
      <c r="I66" s="32">
        <f t="shared" si="1"/>
        <v>0.005996363636</v>
      </c>
    </row>
    <row r="67">
      <c r="A67" s="16">
        <v>8.0</v>
      </c>
      <c r="B67" s="33" t="s">
        <v>26</v>
      </c>
      <c r="C67" s="33"/>
      <c r="D67" s="35">
        <v>3.0</v>
      </c>
      <c r="E67" s="27"/>
      <c r="F67" s="35">
        <v>7.053</v>
      </c>
      <c r="G67" s="36">
        <v>4415.0</v>
      </c>
      <c r="H67" s="39">
        <v>0.36</v>
      </c>
      <c r="I67" s="32">
        <f t="shared" si="1"/>
        <v>0.005884090909</v>
      </c>
    </row>
    <row r="68">
      <c r="A68" s="16">
        <v>9.0</v>
      </c>
      <c r="B68" s="33" t="s">
        <v>26</v>
      </c>
      <c r="C68" s="33"/>
      <c r="D68" s="35"/>
      <c r="E68" s="27" t="s">
        <v>20</v>
      </c>
      <c r="F68" s="35">
        <v>7.157</v>
      </c>
      <c r="G68" s="36">
        <v>2633.0</v>
      </c>
      <c r="H68" s="39">
        <v>0.21</v>
      </c>
      <c r="I68" s="32">
        <f t="shared" si="1"/>
        <v>0.005074090909</v>
      </c>
    </row>
    <row r="69">
      <c r="A69" s="16">
        <v>10.0</v>
      </c>
      <c r="B69" s="33" t="s">
        <v>26</v>
      </c>
      <c r="C69" s="33"/>
      <c r="D69" s="35">
        <v>3.0</v>
      </c>
      <c r="E69" s="27"/>
      <c r="F69" s="35">
        <v>7.333</v>
      </c>
      <c r="G69" s="36">
        <v>4658.0</v>
      </c>
      <c r="H69" s="39">
        <v>0.38</v>
      </c>
      <c r="I69" s="32">
        <f t="shared" si="1"/>
        <v>0.005994545455</v>
      </c>
    </row>
    <row r="70">
      <c r="A70" s="16">
        <v>1.0</v>
      </c>
      <c r="B70" s="33" t="s">
        <v>27</v>
      </c>
      <c r="C70" s="33" t="s">
        <v>80</v>
      </c>
      <c r="D70" s="35"/>
      <c r="E70" s="27"/>
      <c r="F70" s="35">
        <v>4.492</v>
      </c>
      <c r="G70" s="36">
        <v>3909.0</v>
      </c>
      <c r="H70" s="39">
        <v>0.34</v>
      </c>
      <c r="I70" s="32">
        <f t="shared" si="1"/>
        <v>0.005654090909</v>
      </c>
    </row>
    <row r="71">
      <c r="A71" s="16">
        <v>2.0</v>
      </c>
      <c r="B71" s="33" t="s">
        <v>27</v>
      </c>
      <c r="C71" s="33" t="s">
        <v>10</v>
      </c>
      <c r="D71" s="35">
        <v>0.0</v>
      </c>
      <c r="E71" s="27" t="s">
        <v>11</v>
      </c>
      <c r="F71" s="35">
        <v>4.745</v>
      </c>
      <c r="G71" s="36">
        <v>263961.0</v>
      </c>
      <c r="H71" s="39">
        <v>23.13</v>
      </c>
      <c r="I71" s="32">
        <f t="shared" si="1"/>
        <v>0.1238595455</v>
      </c>
    </row>
    <row r="72">
      <c r="A72" s="16">
        <v>3.0</v>
      </c>
      <c r="B72" s="33" t="s">
        <v>27</v>
      </c>
      <c r="C72" s="33" t="s">
        <v>82</v>
      </c>
      <c r="D72" s="35"/>
      <c r="E72" s="27"/>
      <c r="F72" s="35">
        <v>4.9</v>
      </c>
      <c r="G72" s="36"/>
      <c r="H72" s="39"/>
      <c r="I72" s="32" t="str">
        <f t="shared" si="1"/>
        <v/>
      </c>
    </row>
    <row r="73">
      <c r="A73" s="16">
        <v>4.0</v>
      </c>
      <c r="B73" s="33" t="s">
        <v>27</v>
      </c>
      <c r="C73" s="33" t="s">
        <v>13</v>
      </c>
      <c r="D73" s="35">
        <v>1.0</v>
      </c>
      <c r="E73" s="27" t="s">
        <v>14</v>
      </c>
      <c r="F73" s="35">
        <v>5.75</v>
      </c>
      <c r="G73" s="36">
        <v>20984.0</v>
      </c>
      <c r="H73" s="39">
        <v>1.84</v>
      </c>
      <c r="I73" s="32">
        <f t="shared" si="1"/>
        <v>0.01341545455</v>
      </c>
    </row>
    <row r="74">
      <c r="A74" s="16">
        <v>5.0</v>
      </c>
      <c r="B74" s="33" t="s">
        <v>27</v>
      </c>
      <c r="C74" s="33" t="s">
        <v>15</v>
      </c>
      <c r="D74" s="35">
        <v>1.0</v>
      </c>
      <c r="E74" s="27" t="s">
        <v>16</v>
      </c>
      <c r="F74" s="35">
        <v>5.875</v>
      </c>
      <c r="G74" s="40">
        <v>736115.0</v>
      </c>
      <c r="H74" s="61">
        <v>64.52</v>
      </c>
      <c r="I74" s="32">
        <f t="shared" si="1"/>
        <v>0.338475</v>
      </c>
    </row>
    <row r="75">
      <c r="A75" s="16">
        <v>6.0</v>
      </c>
      <c r="B75" s="33" t="s">
        <v>27</v>
      </c>
      <c r="C75" s="33" t="s">
        <v>17</v>
      </c>
      <c r="D75" s="35">
        <v>2.0</v>
      </c>
      <c r="E75" s="27" t="s">
        <v>18</v>
      </c>
      <c r="F75" s="35">
        <v>6.429</v>
      </c>
      <c r="G75" s="40">
        <v>97680.0</v>
      </c>
      <c r="H75" s="61">
        <v>8.56</v>
      </c>
      <c r="I75" s="32">
        <f t="shared" si="1"/>
        <v>0.04827727273</v>
      </c>
    </row>
    <row r="76">
      <c r="A76" s="16">
        <v>7.0</v>
      </c>
      <c r="B76" s="33" t="s">
        <v>27</v>
      </c>
      <c r="C76" s="33"/>
      <c r="D76" s="35">
        <v>2.0</v>
      </c>
      <c r="E76" s="27" t="s">
        <v>19</v>
      </c>
      <c r="F76" s="35">
        <v>6.658</v>
      </c>
      <c r="G76" s="36">
        <v>4069.0</v>
      </c>
      <c r="H76" s="39">
        <v>0.36</v>
      </c>
      <c r="I76" s="32">
        <f t="shared" si="1"/>
        <v>0.005726818182</v>
      </c>
    </row>
    <row r="77">
      <c r="A77" s="16">
        <v>8.0</v>
      </c>
      <c r="B77" s="33" t="s">
        <v>27</v>
      </c>
      <c r="C77" s="33"/>
      <c r="D77" s="35">
        <v>3.0</v>
      </c>
      <c r="E77" s="27"/>
      <c r="F77" s="35">
        <v>7.053</v>
      </c>
      <c r="G77" s="36">
        <v>5144.0</v>
      </c>
      <c r="H77" s="39">
        <v>0.45</v>
      </c>
      <c r="I77" s="32">
        <f t="shared" si="1"/>
        <v>0.006215454545</v>
      </c>
    </row>
    <row r="78">
      <c r="A78" s="16">
        <v>9.0</v>
      </c>
      <c r="B78" s="33" t="s">
        <v>27</v>
      </c>
      <c r="C78" s="33"/>
      <c r="D78" s="35"/>
      <c r="E78" s="27" t="s">
        <v>20</v>
      </c>
      <c r="F78" s="35">
        <v>7.157</v>
      </c>
      <c r="G78" s="36">
        <v>4169.0</v>
      </c>
      <c r="H78" s="39">
        <v>0.37</v>
      </c>
      <c r="I78" s="32">
        <f t="shared" si="1"/>
        <v>0.005772272727</v>
      </c>
    </row>
    <row r="79">
      <c r="A79" s="16">
        <v>10.0</v>
      </c>
      <c r="B79" s="33" t="s">
        <v>27</v>
      </c>
      <c r="C79" s="33"/>
      <c r="D79" s="35">
        <v>3.0</v>
      </c>
      <c r="E79" s="27"/>
      <c r="F79" s="35">
        <v>7.332</v>
      </c>
      <c r="G79" s="36">
        <v>4956.0</v>
      </c>
      <c r="H79" s="39">
        <v>0.43</v>
      </c>
      <c r="I79" s="32">
        <f t="shared" si="1"/>
        <v>0.00613</v>
      </c>
    </row>
    <row r="80">
      <c r="A80" s="16">
        <v>1.0</v>
      </c>
      <c r="B80" s="33" t="s">
        <v>28</v>
      </c>
      <c r="C80" s="33" t="s">
        <v>80</v>
      </c>
      <c r="D80" s="35"/>
      <c r="E80" s="27"/>
      <c r="F80" s="35">
        <v>4.493</v>
      </c>
      <c r="G80" s="36">
        <v>3894.0</v>
      </c>
      <c r="H80" s="39">
        <v>0.35</v>
      </c>
      <c r="I80" s="32">
        <f t="shared" si="1"/>
        <v>0.005647272727</v>
      </c>
    </row>
    <row r="81">
      <c r="A81" s="16">
        <v>2.0</v>
      </c>
      <c r="B81" s="33" t="s">
        <v>28</v>
      </c>
      <c r="C81" s="33" t="s">
        <v>10</v>
      </c>
      <c r="D81" s="35">
        <v>0.0</v>
      </c>
      <c r="E81" s="27" t="s">
        <v>11</v>
      </c>
      <c r="F81" s="35">
        <v>4.746</v>
      </c>
      <c r="G81" s="40">
        <v>247322.0</v>
      </c>
      <c r="H81" s="61">
        <v>22.41</v>
      </c>
      <c r="I81" s="32">
        <f t="shared" si="1"/>
        <v>0.1162963636</v>
      </c>
    </row>
    <row r="82">
      <c r="A82" s="16">
        <v>3.0</v>
      </c>
      <c r="B82" s="33" t="s">
        <v>28</v>
      </c>
      <c r="C82" s="33" t="s">
        <v>82</v>
      </c>
      <c r="D82" s="35"/>
      <c r="E82" s="27"/>
      <c r="F82" s="35">
        <v>4.9</v>
      </c>
      <c r="G82" s="36"/>
      <c r="H82" s="39"/>
      <c r="I82" s="32" t="str">
        <f t="shared" si="1"/>
        <v/>
      </c>
    </row>
    <row r="83">
      <c r="A83" s="16">
        <v>4.0</v>
      </c>
      <c r="B83" s="33" t="s">
        <v>28</v>
      </c>
      <c r="C83" s="33" t="s">
        <v>13</v>
      </c>
      <c r="D83" s="35">
        <v>1.0</v>
      </c>
      <c r="E83" s="27" t="s">
        <v>14</v>
      </c>
      <c r="F83" s="35">
        <v>5.751</v>
      </c>
      <c r="G83" s="36">
        <v>20674.0</v>
      </c>
      <c r="H83" s="39">
        <v>1.87</v>
      </c>
      <c r="I83" s="32">
        <f t="shared" si="1"/>
        <v>0.01327454545</v>
      </c>
    </row>
    <row r="84">
      <c r="A84" s="16">
        <v>5.0</v>
      </c>
      <c r="B84" s="33" t="s">
        <v>28</v>
      </c>
      <c r="C84" s="33" t="s">
        <v>15</v>
      </c>
      <c r="D84" s="35">
        <v>1.0</v>
      </c>
      <c r="E84" s="27" t="s">
        <v>16</v>
      </c>
      <c r="F84" s="35">
        <v>5.876</v>
      </c>
      <c r="G84" s="36">
        <v>721847.0</v>
      </c>
      <c r="H84" s="39">
        <v>65.41</v>
      </c>
      <c r="I84" s="32">
        <f t="shared" si="1"/>
        <v>0.3319895455</v>
      </c>
    </row>
    <row r="85">
      <c r="A85" s="16">
        <v>6.0</v>
      </c>
      <c r="B85" s="33" t="s">
        <v>28</v>
      </c>
      <c r="C85" s="33" t="s">
        <v>17</v>
      </c>
      <c r="D85" s="35">
        <v>2.0</v>
      </c>
      <c r="E85" s="27" t="s">
        <v>18</v>
      </c>
      <c r="F85" s="35">
        <v>6.429</v>
      </c>
      <c r="G85" s="36">
        <v>92817.0</v>
      </c>
      <c r="H85" s="39">
        <v>8.41</v>
      </c>
      <c r="I85" s="32">
        <f t="shared" si="1"/>
        <v>0.04606681818</v>
      </c>
    </row>
    <row r="86">
      <c r="A86" s="16">
        <v>7.0</v>
      </c>
      <c r="B86" s="33" t="s">
        <v>28</v>
      </c>
      <c r="C86" s="33"/>
      <c r="D86" s="35">
        <v>2.0</v>
      </c>
      <c r="E86" s="27" t="s">
        <v>19</v>
      </c>
      <c r="F86" s="35">
        <v>6.659</v>
      </c>
      <c r="G86" s="36">
        <v>3928.0</v>
      </c>
      <c r="H86" s="39">
        <v>0.36</v>
      </c>
      <c r="I86" s="32">
        <f t="shared" si="1"/>
        <v>0.005662727273</v>
      </c>
    </row>
    <row r="87">
      <c r="A87" s="16">
        <v>8.0</v>
      </c>
      <c r="B87" s="33" t="s">
        <v>28</v>
      </c>
      <c r="C87" s="33"/>
      <c r="D87" s="35">
        <v>3.0</v>
      </c>
      <c r="E87" s="27"/>
      <c r="F87" s="35">
        <v>7.053</v>
      </c>
      <c r="G87" s="36">
        <v>4759.0</v>
      </c>
      <c r="H87" s="39">
        <v>0.43</v>
      </c>
      <c r="I87" s="32">
        <f t="shared" si="1"/>
        <v>0.006040454545</v>
      </c>
    </row>
    <row r="88">
      <c r="A88" s="16">
        <v>9.0</v>
      </c>
      <c r="B88" s="33" t="s">
        <v>28</v>
      </c>
      <c r="C88" s="33"/>
      <c r="D88" s="35"/>
      <c r="E88" s="27" t="s">
        <v>20</v>
      </c>
      <c r="F88" s="35">
        <v>7.159</v>
      </c>
      <c r="G88" s="36">
        <v>3324.0</v>
      </c>
      <c r="H88" s="39">
        <v>0.3</v>
      </c>
      <c r="I88" s="32">
        <f t="shared" si="1"/>
        <v>0.005388181818</v>
      </c>
    </row>
    <row r="89">
      <c r="A89" s="16">
        <v>10.0</v>
      </c>
      <c r="B89" s="33" t="s">
        <v>28</v>
      </c>
      <c r="C89" s="33"/>
      <c r="D89" s="35">
        <v>3.0</v>
      </c>
      <c r="E89" s="27"/>
      <c r="F89" s="35">
        <v>7.332</v>
      </c>
      <c r="G89" s="36">
        <v>5029.0</v>
      </c>
      <c r="H89" s="39">
        <v>0.46</v>
      </c>
      <c r="I89" s="32">
        <f t="shared" si="1"/>
        <v>0.006163181818</v>
      </c>
    </row>
    <row r="90">
      <c r="A90" s="16">
        <v>1.0</v>
      </c>
      <c r="B90" s="33" t="s">
        <v>29</v>
      </c>
      <c r="C90" s="33" t="s">
        <v>80</v>
      </c>
      <c r="D90" s="35"/>
      <c r="E90" s="27"/>
      <c r="F90" s="35">
        <v>4.491</v>
      </c>
      <c r="G90" s="36">
        <v>3771.0</v>
      </c>
      <c r="H90" s="39">
        <v>0.36</v>
      </c>
      <c r="I90" s="32">
        <f t="shared" si="1"/>
        <v>0.005591363636</v>
      </c>
    </row>
    <row r="91">
      <c r="A91" s="16">
        <v>2.0</v>
      </c>
      <c r="B91" s="33" t="s">
        <v>29</v>
      </c>
      <c r="C91" s="41" t="s">
        <v>10</v>
      </c>
      <c r="D91" s="35">
        <v>0.0</v>
      </c>
      <c r="E91" s="27" t="s">
        <v>11</v>
      </c>
      <c r="F91" s="35">
        <v>4.745</v>
      </c>
      <c r="G91" s="40">
        <v>234916.0</v>
      </c>
      <c r="H91" s="61">
        <v>22.26</v>
      </c>
      <c r="I91" s="32">
        <f t="shared" si="1"/>
        <v>0.1106572727</v>
      </c>
    </row>
    <row r="92">
      <c r="A92" s="16">
        <v>3.0</v>
      </c>
      <c r="B92" s="33" t="s">
        <v>29</v>
      </c>
      <c r="C92" s="41" t="s">
        <v>82</v>
      </c>
      <c r="D92" s="35"/>
      <c r="E92" s="27"/>
      <c r="F92" s="35">
        <v>4.9</v>
      </c>
      <c r="G92" s="40"/>
      <c r="H92" s="61"/>
      <c r="I92" s="32" t="str">
        <f t="shared" si="1"/>
        <v/>
      </c>
    </row>
    <row r="93">
      <c r="A93" s="16">
        <v>4.0</v>
      </c>
      <c r="B93" s="33" t="s">
        <v>29</v>
      </c>
      <c r="C93" s="33" t="s">
        <v>13</v>
      </c>
      <c r="D93" s="35">
        <v>1.0</v>
      </c>
      <c r="E93" s="27" t="s">
        <v>14</v>
      </c>
      <c r="F93" s="35">
        <v>5.75</v>
      </c>
      <c r="G93" s="36">
        <v>19604.0</v>
      </c>
      <c r="H93" s="39">
        <v>1.86</v>
      </c>
      <c r="I93" s="32">
        <f t="shared" si="1"/>
        <v>0.01278818182</v>
      </c>
    </row>
    <row r="94">
      <c r="A94" s="16">
        <v>5.0</v>
      </c>
      <c r="B94" s="33" t="s">
        <v>29</v>
      </c>
      <c r="C94" s="41" t="s">
        <v>15</v>
      </c>
      <c r="D94" s="35">
        <v>1.0</v>
      </c>
      <c r="E94" s="27" t="s">
        <v>16</v>
      </c>
      <c r="F94" s="35">
        <v>5.874</v>
      </c>
      <c r="G94" s="40">
        <v>688134.0</v>
      </c>
      <c r="H94" s="61">
        <v>65.19</v>
      </c>
      <c r="I94" s="32">
        <f t="shared" si="1"/>
        <v>0.3166654545</v>
      </c>
    </row>
    <row r="95">
      <c r="A95" s="16">
        <v>6.0</v>
      </c>
      <c r="B95" s="33" t="s">
        <v>29</v>
      </c>
      <c r="C95" s="41" t="s">
        <v>17</v>
      </c>
      <c r="D95" s="35">
        <v>2.0</v>
      </c>
      <c r="E95" s="27" t="s">
        <v>18</v>
      </c>
      <c r="F95" s="35">
        <v>6.428</v>
      </c>
      <c r="G95" s="40">
        <v>92125.0</v>
      </c>
      <c r="H95" s="61">
        <v>8.73</v>
      </c>
      <c r="I95" s="32">
        <f t="shared" si="1"/>
        <v>0.04575227273</v>
      </c>
    </row>
    <row r="96">
      <c r="A96" s="16">
        <v>7.0</v>
      </c>
      <c r="B96" s="33" t="s">
        <v>29</v>
      </c>
      <c r="C96" s="33"/>
      <c r="D96" s="35">
        <v>2.0</v>
      </c>
      <c r="E96" s="27" t="s">
        <v>19</v>
      </c>
      <c r="F96" s="35">
        <v>6.658</v>
      </c>
      <c r="G96" s="36">
        <v>4045.0</v>
      </c>
      <c r="H96" s="39">
        <v>0.38</v>
      </c>
      <c r="I96" s="32">
        <f t="shared" si="1"/>
        <v>0.005715909091</v>
      </c>
    </row>
    <row r="97">
      <c r="A97" s="16">
        <v>8.0</v>
      </c>
      <c r="B97" s="33" t="s">
        <v>29</v>
      </c>
      <c r="C97" s="33"/>
      <c r="D97" s="35">
        <v>3.0</v>
      </c>
      <c r="E97" s="27"/>
      <c r="F97" s="35">
        <v>7.051</v>
      </c>
      <c r="G97" s="36">
        <v>4728.0</v>
      </c>
      <c r="H97" s="39">
        <v>0.45</v>
      </c>
      <c r="I97" s="32">
        <f t="shared" si="1"/>
        <v>0.006026363636</v>
      </c>
    </row>
    <row r="98">
      <c r="A98" s="16">
        <v>9.0</v>
      </c>
      <c r="B98" s="33" t="s">
        <v>29</v>
      </c>
      <c r="C98" s="33"/>
      <c r="D98" s="35"/>
      <c r="E98" s="27" t="s">
        <v>20</v>
      </c>
      <c r="F98" s="35">
        <v>7.155</v>
      </c>
      <c r="G98" s="36">
        <v>3122.0</v>
      </c>
      <c r="H98" s="39">
        <v>0.3</v>
      </c>
      <c r="I98" s="32">
        <f t="shared" si="1"/>
        <v>0.005296363636</v>
      </c>
    </row>
    <row r="99">
      <c r="A99" s="16">
        <v>10.0</v>
      </c>
      <c r="B99" s="33" t="s">
        <v>29</v>
      </c>
      <c r="C99" s="33"/>
      <c r="D99" s="35">
        <v>3.0</v>
      </c>
      <c r="E99" s="27"/>
      <c r="F99" s="35">
        <v>7.331</v>
      </c>
      <c r="G99" s="36">
        <v>5067.0</v>
      </c>
      <c r="H99" s="39">
        <v>0.48</v>
      </c>
      <c r="I99" s="32">
        <f t="shared" si="1"/>
        <v>0.006180454545</v>
      </c>
    </row>
    <row r="100">
      <c r="A100" s="16">
        <v>1.0</v>
      </c>
      <c r="B100" s="33" t="s">
        <v>30</v>
      </c>
      <c r="C100" s="33" t="s">
        <v>80</v>
      </c>
      <c r="D100" s="35"/>
      <c r="E100" s="27"/>
      <c r="F100" s="35">
        <v>4.493</v>
      </c>
      <c r="G100" s="36">
        <v>3795.0</v>
      </c>
      <c r="H100" s="39">
        <v>0.36</v>
      </c>
      <c r="I100" s="32">
        <f t="shared" si="1"/>
        <v>0.005602272727</v>
      </c>
    </row>
    <row r="101">
      <c r="A101" s="16">
        <v>2.0</v>
      </c>
      <c r="B101" s="33" t="s">
        <v>30</v>
      </c>
      <c r="C101" s="41" t="s">
        <v>10</v>
      </c>
      <c r="D101" s="35">
        <v>0.0</v>
      </c>
      <c r="E101" s="27" t="s">
        <v>11</v>
      </c>
      <c r="F101" s="35">
        <v>4.743</v>
      </c>
      <c r="G101" s="40">
        <v>231472.0</v>
      </c>
      <c r="H101" s="61">
        <v>21.77</v>
      </c>
      <c r="I101" s="32">
        <f t="shared" si="1"/>
        <v>0.1090918182</v>
      </c>
    </row>
    <row r="102">
      <c r="A102" s="16">
        <v>3.0</v>
      </c>
      <c r="B102" s="33" t="s">
        <v>30</v>
      </c>
      <c r="C102" s="41" t="s">
        <v>82</v>
      </c>
      <c r="D102" s="35"/>
      <c r="E102" s="27"/>
      <c r="F102" s="35">
        <v>4.9</v>
      </c>
      <c r="G102" s="40"/>
      <c r="H102" s="61"/>
      <c r="I102" s="32" t="str">
        <f t="shared" si="1"/>
        <v/>
      </c>
    </row>
    <row r="103">
      <c r="A103" s="16">
        <v>4.0</v>
      </c>
      <c r="B103" s="33" t="s">
        <v>30</v>
      </c>
      <c r="C103" s="33" t="s">
        <v>13</v>
      </c>
      <c r="D103" s="35">
        <v>1.0</v>
      </c>
      <c r="E103" s="27" t="s">
        <v>14</v>
      </c>
      <c r="F103" s="35">
        <v>5.751</v>
      </c>
      <c r="G103" s="36">
        <v>19615.0</v>
      </c>
      <c r="H103" s="39">
        <v>1.84</v>
      </c>
      <c r="I103" s="32">
        <f t="shared" si="1"/>
        <v>0.01279318182</v>
      </c>
    </row>
    <row r="104">
      <c r="A104" s="16">
        <v>5.0</v>
      </c>
      <c r="B104" s="33" t="s">
        <v>30</v>
      </c>
      <c r="C104" s="41" t="s">
        <v>15</v>
      </c>
      <c r="D104" s="35">
        <v>1.0</v>
      </c>
      <c r="E104" s="27" t="s">
        <v>16</v>
      </c>
      <c r="F104" s="35">
        <v>5.875</v>
      </c>
      <c r="G104" s="40">
        <v>696586.0</v>
      </c>
      <c r="H104" s="61">
        <v>65.52</v>
      </c>
      <c r="I104" s="32">
        <f t="shared" si="1"/>
        <v>0.3205072727</v>
      </c>
    </row>
    <row r="105">
      <c r="A105" s="16">
        <v>6.0</v>
      </c>
      <c r="B105" s="33" t="s">
        <v>30</v>
      </c>
      <c r="C105" s="33" t="s">
        <v>17</v>
      </c>
      <c r="D105" s="35">
        <v>2.0</v>
      </c>
      <c r="E105" s="27" t="s">
        <v>18</v>
      </c>
      <c r="F105" s="35">
        <v>6.428</v>
      </c>
      <c r="G105" s="40">
        <v>96779.0</v>
      </c>
      <c r="H105" s="39">
        <v>9.1</v>
      </c>
      <c r="I105" s="32">
        <f t="shared" si="1"/>
        <v>0.04786772727</v>
      </c>
    </row>
    <row r="106">
      <c r="A106" s="16">
        <v>7.0</v>
      </c>
      <c r="B106" s="33" t="s">
        <v>30</v>
      </c>
      <c r="C106" s="33"/>
      <c r="D106" s="35">
        <v>2.0</v>
      </c>
      <c r="E106" s="27" t="s">
        <v>19</v>
      </c>
      <c r="F106" s="35">
        <v>6.657</v>
      </c>
      <c r="G106" s="36">
        <v>4656.0</v>
      </c>
      <c r="H106" s="39">
        <v>0.44</v>
      </c>
      <c r="I106" s="32">
        <f t="shared" si="1"/>
        <v>0.005993636364</v>
      </c>
    </row>
    <row r="107">
      <c r="A107" s="16">
        <v>8.0</v>
      </c>
      <c r="B107" s="33" t="s">
        <v>30</v>
      </c>
      <c r="C107" s="33"/>
      <c r="D107" s="35"/>
      <c r="E107" s="27"/>
      <c r="F107" s="35">
        <v>7.05</v>
      </c>
      <c r="G107" s="36">
        <v>3479.0</v>
      </c>
      <c r="H107" s="39">
        <v>0.33</v>
      </c>
      <c r="I107" s="32">
        <f t="shared" si="1"/>
        <v>0.005458636364</v>
      </c>
    </row>
    <row r="108">
      <c r="A108" s="16">
        <v>9.0</v>
      </c>
      <c r="B108" s="33" t="s">
        <v>30</v>
      </c>
      <c r="C108" s="33"/>
      <c r="D108" s="35">
        <v>3.0</v>
      </c>
      <c r="E108" s="27" t="s">
        <v>20</v>
      </c>
      <c r="F108" s="35">
        <v>7.156</v>
      </c>
      <c r="G108" s="36">
        <v>2282.0</v>
      </c>
      <c r="H108" s="39">
        <v>0.21</v>
      </c>
      <c r="I108" s="32">
        <f t="shared" si="1"/>
        <v>0.004914545455</v>
      </c>
    </row>
    <row r="109">
      <c r="A109" s="16">
        <v>10.0</v>
      </c>
      <c r="B109" s="33" t="s">
        <v>30</v>
      </c>
      <c r="C109" s="33"/>
      <c r="D109" s="35"/>
      <c r="E109" s="27"/>
      <c r="F109" s="35">
        <v>7.335</v>
      </c>
      <c r="G109" s="36">
        <v>4524.0</v>
      </c>
      <c r="H109" s="39">
        <v>0.43</v>
      </c>
      <c r="I109" s="32">
        <f t="shared" si="1"/>
        <v>0.005933636364</v>
      </c>
    </row>
    <row r="110">
      <c r="A110" s="16">
        <v>1.0</v>
      </c>
      <c r="B110" s="33" t="s">
        <v>31</v>
      </c>
      <c r="C110" s="33" t="s">
        <v>80</v>
      </c>
      <c r="D110" s="35"/>
      <c r="E110" s="27"/>
      <c r="F110" s="35">
        <v>4.494</v>
      </c>
      <c r="G110" s="36">
        <v>3890.0</v>
      </c>
      <c r="H110" s="39">
        <v>0.35</v>
      </c>
      <c r="I110" s="32">
        <f t="shared" si="1"/>
        <v>0.005645454545</v>
      </c>
    </row>
    <row r="111">
      <c r="A111" s="16">
        <v>2.0</v>
      </c>
      <c r="B111" s="33" t="s">
        <v>31</v>
      </c>
      <c r="C111" s="41" t="s">
        <v>10</v>
      </c>
      <c r="D111" s="35">
        <v>0.0</v>
      </c>
      <c r="E111" s="27" t="s">
        <v>11</v>
      </c>
      <c r="F111" s="35">
        <v>4.743</v>
      </c>
      <c r="G111" s="40">
        <v>239185.0</v>
      </c>
      <c r="H111" s="61">
        <v>21.57</v>
      </c>
      <c r="I111" s="32">
        <f t="shared" si="1"/>
        <v>0.1125977273</v>
      </c>
    </row>
    <row r="112">
      <c r="A112" s="16">
        <v>3.0</v>
      </c>
      <c r="B112" s="33" t="s">
        <v>31</v>
      </c>
      <c r="C112" s="33" t="s">
        <v>82</v>
      </c>
      <c r="D112" s="35"/>
      <c r="E112" s="27"/>
      <c r="F112" s="35">
        <v>4.9</v>
      </c>
      <c r="G112" s="36"/>
      <c r="H112" s="39"/>
      <c r="I112" s="32" t="str">
        <f t="shared" si="1"/>
        <v/>
      </c>
    </row>
    <row r="113">
      <c r="A113" s="16">
        <v>4.0</v>
      </c>
      <c r="B113" s="33" t="s">
        <v>31</v>
      </c>
      <c r="C113" s="33" t="s">
        <v>13</v>
      </c>
      <c r="D113" s="35">
        <v>1.0</v>
      </c>
      <c r="E113" s="27" t="s">
        <v>14</v>
      </c>
      <c r="F113" s="35">
        <v>5.751</v>
      </c>
      <c r="G113" s="36">
        <v>20355.0</v>
      </c>
      <c r="H113" s="39">
        <v>1.84</v>
      </c>
      <c r="I113" s="32">
        <f t="shared" si="1"/>
        <v>0.01312954545</v>
      </c>
    </row>
    <row r="114">
      <c r="A114" s="16">
        <v>5.0</v>
      </c>
      <c r="B114" s="33" t="s">
        <v>31</v>
      </c>
      <c r="C114" s="41" t="s">
        <v>15</v>
      </c>
      <c r="D114" s="41">
        <v>1.0</v>
      </c>
      <c r="E114" s="27" t="s">
        <v>16</v>
      </c>
      <c r="F114" s="41">
        <v>5.875</v>
      </c>
      <c r="G114" s="40">
        <v>725736.0</v>
      </c>
      <c r="H114" s="61">
        <v>65.45</v>
      </c>
      <c r="I114" s="32">
        <f t="shared" si="1"/>
        <v>0.3337572727</v>
      </c>
    </row>
    <row r="115">
      <c r="A115" s="16">
        <v>6.0</v>
      </c>
      <c r="B115" s="33" t="s">
        <v>31</v>
      </c>
      <c r="C115" s="33" t="s">
        <v>17</v>
      </c>
      <c r="D115" s="35">
        <v>2.0</v>
      </c>
      <c r="E115" s="27" t="s">
        <v>18</v>
      </c>
      <c r="F115" s="35">
        <v>6.429</v>
      </c>
      <c r="G115" s="36">
        <v>101413.0</v>
      </c>
      <c r="H115" s="39">
        <v>9.15</v>
      </c>
      <c r="I115" s="32">
        <f t="shared" si="1"/>
        <v>0.04997409091</v>
      </c>
    </row>
    <row r="116">
      <c r="A116" s="16">
        <v>7.0</v>
      </c>
      <c r="B116" s="33" t="s">
        <v>31</v>
      </c>
      <c r="C116" s="33"/>
      <c r="D116" s="35">
        <v>2.0</v>
      </c>
      <c r="E116" s="27" t="s">
        <v>19</v>
      </c>
      <c r="F116" s="35">
        <v>6.657</v>
      </c>
      <c r="G116" s="36">
        <v>4759.0</v>
      </c>
      <c r="H116" s="39">
        <v>0.43</v>
      </c>
      <c r="I116" s="32">
        <f t="shared" si="1"/>
        <v>0.006040454545</v>
      </c>
    </row>
    <row r="117">
      <c r="A117" s="16">
        <v>8.0</v>
      </c>
      <c r="B117" s="33" t="s">
        <v>31</v>
      </c>
      <c r="C117" s="33"/>
      <c r="D117" s="35"/>
      <c r="E117" s="27"/>
      <c r="F117" s="35">
        <v>7.052</v>
      </c>
      <c r="G117" s="36">
        <v>5252.0</v>
      </c>
      <c r="H117" s="39">
        <v>0.47</v>
      </c>
      <c r="I117" s="32">
        <f t="shared" si="1"/>
        <v>0.006264545455</v>
      </c>
    </row>
    <row r="118">
      <c r="A118" s="16">
        <v>9.0</v>
      </c>
      <c r="B118" s="33" t="s">
        <v>31</v>
      </c>
      <c r="C118" s="33"/>
      <c r="D118" s="35">
        <v>3.0</v>
      </c>
      <c r="E118" s="27" t="s">
        <v>20</v>
      </c>
      <c r="F118" s="35">
        <v>7.158</v>
      </c>
      <c r="G118" s="36">
        <v>3235.0</v>
      </c>
      <c r="H118" s="39">
        <v>0.29</v>
      </c>
      <c r="I118" s="32">
        <f t="shared" si="1"/>
        <v>0.005347727273</v>
      </c>
    </row>
    <row r="119">
      <c r="A119" s="16">
        <v>10.0</v>
      </c>
      <c r="B119" s="33" t="s">
        <v>31</v>
      </c>
      <c r="C119" s="33"/>
      <c r="D119" s="35"/>
      <c r="E119" s="27"/>
      <c r="F119" s="35">
        <v>7.331</v>
      </c>
      <c r="G119" s="36">
        <v>4938.0</v>
      </c>
      <c r="H119" s="39">
        <v>0.45</v>
      </c>
      <c r="I119" s="32">
        <f t="shared" si="1"/>
        <v>0.006121818182</v>
      </c>
    </row>
    <row r="120">
      <c r="A120" s="16">
        <v>1.0</v>
      </c>
      <c r="B120" s="33" t="s">
        <v>32</v>
      </c>
      <c r="C120" s="33" t="s">
        <v>80</v>
      </c>
      <c r="D120" s="35"/>
      <c r="E120" s="27"/>
      <c r="F120" s="35">
        <v>4.494</v>
      </c>
      <c r="G120" s="36">
        <v>4135.0</v>
      </c>
      <c r="H120" s="39">
        <v>0.36</v>
      </c>
      <c r="I120" s="32">
        <f t="shared" si="1"/>
        <v>0.005756818182</v>
      </c>
    </row>
    <row r="121">
      <c r="A121" s="16">
        <v>2.0</v>
      </c>
      <c r="B121" s="33" t="s">
        <v>32</v>
      </c>
      <c r="C121" s="41" t="s">
        <v>10</v>
      </c>
      <c r="D121" s="41">
        <v>0.0</v>
      </c>
      <c r="E121" s="27" t="s">
        <v>11</v>
      </c>
      <c r="F121" s="41">
        <v>4.744</v>
      </c>
      <c r="G121" s="40">
        <v>267323.0</v>
      </c>
      <c r="H121" s="61">
        <v>23.45</v>
      </c>
      <c r="I121" s="32">
        <f t="shared" si="1"/>
        <v>0.1253877273</v>
      </c>
    </row>
    <row r="122">
      <c r="A122" s="16">
        <v>3.0</v>
      </c>
      <c r="B122" s="33" t="s">
        <v>32</v>
      </c>
      <c r="C122" s="33" t="s">
        <v>82</v>
      </c>
      <c r="D122" s="35"/>
      <c r="E122" s="27"/>
      <c r="F122" s="35">
        <v>4.9</v>
      </c>
      <c r="G122" s="36"/>
      <c r="H122" s="39"/>
      <c r="I122" s="32" t="str">
        <f t="shared" si="1"/>
        <v/>
      </c>
    </row>
    <row r="123">
      <c r="A123" s="16">
        <v>4.0</v>
      </c>
      <c r="B123" s="33" t="s">
        <v>32</v>
      </c>
      <c r="C123" s="33" t="s">
        <v>13</v>
      </c>
      <c r="D123" s="35">
        <v>1.0</v>
      </c>
      <c r="E123" s="27" t="s">
        <v>14</v>
      </c>
      <c r="F123" s="35">
        <v>5.751</v>
      </c>
      <c r="G123" s="36">
        <v>20479.0</v>
      </c>
      <c r="H123" s="39">
        <v>1.8</v>
      </c>
      <c r="I123" s="32">
        <f t="shared" si="1"/>
        <v>0.01318590909</v>
      </c>
    </row>
    <row r="124">
      <c r="A124" s="16">
        <v>5.0</v>
      </c>
      <c r="B124" s="33" t="s">
        <v>32</v>
      </c>
      <c r="C124" s="33" t="s">
        <v>15</v>
      </c>
      <c r="D124" s="35">
        <v>1.0</v>
      </c>
      <c r="E124" s="27" t="s">
        <v>16</v>
      </c>
      <c r="F124" s="35">
        <v>5.876</v>
      </c>
      <c r="G124" s="36">
        <v>727927.0</v>
      </c>
      <c r="H124" s="39">
        <v>63.87</v>
      </c>
      <c r="I124" s="32">
        <f t="shared" si="1"/>
        <v>0.3347531818</v>
      </c>
    </row>
    <row r="125">
      <c r="A125" s="16">
        <v>6.0</v>
      </c>
      <c r="B125" s="33" t="s">
        <v>32</v>
      </c>
      <c r="C125" s="33" t="s">
        <v>17</v>
      </c>
      <c r="D125" s="35">
        <v>2.0</v>
      </c>
      <c r="E125" s="27" t="s">
        <v>18</v>
      </c>
      <c r="F125" s="35">
        <v>6.429</v>
      </c>
      <c r="G125" s="36">
        <v>100954.0</v>
      </c>
      <c r="H125" s="39">
        <v>8.86</v>
      </c>
      <c r="I125" s="32">
        <f t="shared" si="1"/>
        <v>0.04976545455</v>
      </c>
    </row>
    <row r="126">
      <c r="A126" s="16">
        <v>7.0</v>
      </c>
      <c r="B126" s="33" t="s">
        <v>32</v>
      </c>
      <c r="C126" s="33"/>
      <c r="D126" s="35">
        <v>2.0</v>
      </c>
      <c r="E126" s="27" t="s">
        <v>19</v>
      </c>
      <c r="F126" s="35">
        <v>6.658</v>
      </c>
      <c r="G126" s="36">
        <v>4773.0</v>
      </c>
      <c r="H126" s="39">
        <v>0.42</v>
      </c>
      <c r="I126" s="32">
        <f t="shared" si="1"/>
        <v>0.006046818182</v>
      </c>
    </row>
    <row r="127">
      <c r="A127" s="16">
        <v>8.0</v>
      </c>
      <c r="B127" s="33" t="s">
        <v>32</v>
      </c>
      <c r="C127" s="33"/>
      <c r="D127" s="35"/>
      <c r="E127" s="27"/>
      <c r="F127" s="35">
        <v>7.052</v>
      </c>
      <c r="G127" s="36">
        <v>5394.0</v>
      </c>
      <c r="H127" s="39">
        <v>0.47</v>
      </c>
      <c r="I127" s="32">
        <f t="shared" si="1"/>
        <v>0.006329090909</v>
      </c>
    </row>
    <row r="128">
      <c r="A128" s="16">
        <v>9.0</v>
      </c>
      <c r="B128" s="33" t="s">
        <v>32</v>
      </c>
      <c r="C128" s="33"/>
      <c r="D128" s="35">
        <v>3.0</v>
      </c>
      <c r="E128" s="27" t="s">
        <v>20</v>
      </c>
      <c r="F128" s="35">
        <v>7.158</v>
      </c>
      <c r="G128" s="36">
        <v>3669.0</v>
      </c>
      <c r="H128" s="39">
        <v>0.32</v>
      </c>
      <c r="I128" s="32">
        <f t="shared" si="1"/>
        <v>0.005545</v>
      </c>
    </row>
    <row r="129">
      <c r="A129" s="16">
        <v>10.0</v>
      </c>
      <c r="B129" s="33" t="s">
        <v>32</v>
      </c>
      <c r="C129" s="33"/>
      <c r="D129" s="35"/>
      <c r="E129" s="27"/>
      <c r="F129" s="35">
        <v>7.333</v>
      </c>
      <c r="G129" s="36">
        <v>5108.0</v>
      </c>
      <c r="H129" s="39">
        <v>0.45</v>
      </c>
      <c r="I129" s="32">
        <f t="shared" si="1"/>
        <v>0.006199090909</v>
      </c>
    </row>
    <row r="130">
      <c r="A130" s="16">
        <v>1.0</v>
      </c>
      <c r="B130" s="33" t="s">
        <v>34</v>
      </c>
      <c r="C130" s="33" t="s">
        <v>80</v>
      </c>
      <c r="D130" s="35"/>
      <c r="E130" s="27"/>
      <c r="F130" s="35">
        <v>4.488</v>
      </c>
      <c r="G130" s="36">
        <v>4329.0</v>
      </c>
      <c r="H130" s="39">
        <v>0.39</v>
      </c>
      <c r="I130" s="32">
        <f t="shared" si="1"/>
        <v>0.005845</v>
      </c>
    </row>
    <row r="131">
      <c r="A131" s="16">
        <v>2.0</v>
      </c>
      <c r="B131" s="33" t="s">
        <v>34</v>
      </c>
      <c r="C131" s="41" t="s">
        <v>10</v>
      </c>
      <c r="D131" s="41">
        <v>0.0</v>
      </c>
      <c r="E131" s="27" t="s">
        <v>11</v>
      </c>
      <c r="F131" s="41">
        <v>4.746</v>
      </c>
      <c r="G131" s="40">
        <v>242190.0</v>
      </c>
      <c r="H131" s="61">
        <v>21.69</v>
      </c>
      <c r="I131" s="32">
        <f t="shared" si="1"/>
        <v>0.1139636364</v>
      </c>
    </row>
    <row r="132">
      <c r="A132" s="16">
        <v>3.0</v>
      </c>
      <c r="B132" s="33" t="s">
        <v>34</v>
      </c>
      <c r="C132" s="33" t="s">
        <v>82</v>
      </c>
      <c r="D132" s="35"/>
      <c r="E132" s="27"/>
      <c r="F132" s="35">
        <v>4.9</v>
      </c>
      <c r="G132" s="36"/>
      <c r="H132" s="39"/>
      <c r="I132" s="32" t="str">
        <f t="shared" si="1"/>
        <v/>
      </c>
    </row>
    <row r="133">
      <c r="A133" s="16">
        <v>4.0</v>
      </c>
      <c r="B133" s="33" t="s">
        <v>34</v>
      </c>
      <c r="C133" s="33" t="s">
        <v>13</v>
      </c>
      <c r="D133" s="35">
        <v>1.0</v>
      </c>
      <c r="E133" s="27" t="s">
        <v>14</v>
      </c>
      <c r="F133" s="35">
        <v>5.751</v>
      </c>
      <c r="G133" s="36">
        <v>20176.0</v>
      </c>
      <c r="H133" s="39">
        <v>1.81</v>
      </c>
      <c r="I133" s="32">
        <f t="shared" si="1"/>
        <v>0.01304818182</v>
      </c>
    </row>
    <row r="134">
      <c r="A134" s="16">
        <v>5.0</v>
      </c>
      <c r="B134" s="33" t="s">
        <v>34</v>
      </c>
      <c r="C134" s="33" t="s">
        <v>15</v>
      </c>
      <c r="D134" s="35">
        <v>1.0</v>
      </c>
      <c r="E134" s="27" t="s">
        <v>16</v>
      </c>
      <c r="F134" s="35">
        <v>5.876</v>
      </c>
      <c r="G134" s="36">
        <v>725653.0</v>
      </c>
      <c r="H134" s="39">
        <v>65.0</v>
      </c>
      <c r="I134" s="32">
        <f t="shared" si="1"/>
        <v>0.3337195455</v>
      </c>
    </row>
    <row r="135">
      <c r="A135" s="16">
        <v>6.0</v>
      </c>
      <c r="B135" s="33" t="s">
        <v>34</v>
      </c>
      <c r="C135" s="33" t="s">
        <v>17</v>
      </c>
      <c r="D135" s="35">
        <v>2.0</v>
      </c>
      <c r="E135" s="27" t="s">
        <v>18</v>
      </c>
      <c r="F135" s="35">
        <v>6.43</v>
      </c>
      <c r="G135" s="36">
        <v>104823.0</v>
      </c>
      <c r="H135" s="39">
        <v>9.39</v>
      </c>
      <c r="I135" s="32">
        <f t="shared" si="1"/>
        <v>0.05152409091</v>
      </c>
    </row>
    <row r="136">
      <c r="A136" s="16">
        <v>7.0</v>
      </c>
      <c r="B136" s="33" t="s">
        <v>34</v>
      </c>
      <c r="C136" s="33"/>
      <c r="D136" s="35">
        <v>2.0</v>
      </c>
      <c r="E136" s="27" t="s">
        <v>19</v>
      </c>
      <c r="F136" s="35">
        <v>6.657</v>
      </c>
      <c r="G136" s="36">
        <v>5258.0</v>
      </c>
      <c r="H136" s="39">
        <v>0.47</v>
      </c>
      <c r="I136" s="32">
        <f t="shared" si="1"/>
        <v>0.006267272727</v>
      </c>
    </row>
    <row r="137">
      <c r="A137" s="16">
        <v>8.0</v>
      </c>
      <c r="B137" s="33" t="s">
        <v>34</v>
      </c>
      <c r="C137" s="33"/>
      <c r="D137" s="35"/>
      <c r="E137" s="27"/>
      <c r="F137" s="35">
        <v>7.051</v>
      </c>
      <c r="G137" s="36">
        <v>5214.0</v>
      </c>
      <c r="H137" s="39">
        <v>0.47</v>
      </c>
      <c r="I137" s="32">
        <f t="shared" si="1"/>
        <v>0.006247272727</v>
      </c>
    </row>
    <row r="138">
      <c r="A138" s="16">
        <v>9.0</v>
      </c>
      <c r="B138" s="33" t="s">
        <v>34</v>
      </c>
      <c r="C138" s="33"/>
      <c r="D138" s="35">
        <v>3.0</v>
      </c>
      <c r="E138" s="27" t="s">
        <v>20</v>
      </c>
      <c r="F138" s="35">
        <v>7.156</v>
      </c>
      <c r="G138" s="36">
        <v>3399.0</v>
      </c>
      <c r="H138" s="39">
        <v>0.3</v>
      </c>
      <c r="I138" s="32">
        <f t="shared" si="1"/>
        <v>0.005422272727</v>
      </c>
    </row>
    <row r="139">
      <c r="A139" s="16">
        <v>10.0</v>
      </c>
      <c r="B139" s="33" t="s">
        <v>34</v>
      </c>
      <c r="C139" s="33"/>
      <c r="D139" s="35"/>
      <c r="E139" s="27"/>
      <c r="F139" s="35">
        <v>7.334</v>
      </c>
      <c r="G139" s="36">
        <v>5309.0</v>
      </c>
      <c r="H139" s="39">
        <v>0.48</v>
      </c>
      <c r="I139" s="32">
        <f t="shared" si="1"/>
        <v>0.006290454545</v>
      </c>
    </row>
    <row r="140">
      <c r="A140" s="16">
        <v>1.0</v>
      </c>
      <c r="B140" s="33" t="s">
        <v>39</v>
      </c>
      <c r="C140" s="33" t="s">
        <v>80</v>
      </c>
      <c r="D140" s="35"/>
      <c r="E140" s="27"/>
      <c r="F140" s="35">
        <v>4.494</v>
      </c>
      <c r="G140" s="36">
        <v>4022.0</v>
      </c>
      <c r="H140" s="39">
        <v>0.4</v>
      </c>
      <c r="I140" s="32">
        <f t="shared" si="1"/>
        <v>0.005705454545</v>
      </c>
    </row>
    <row r="141">
      <c r="A141" s="16">
        <v>2.0</v>
      </c>
      <c r="B141" s="33" t="s">
        <v>39</v>
      </c>
      <c r="C141" s="41" t="s">
        <v>10</v>
      </c>
      <c r="D141" s="35">
        <v>0.0</v>
      </c>
      <c r="E141" s="27" t="s">
        <v>11</v>
      </c>
      <c r="F141" s="35">
        <v>4.75</v>
      </c>
      <c r="G141" s="36">
        <v>221598.0</v>
      </c>
      <c r="H141" s="39">
        <v>21.85</v>
      </c>
      <c r="I141" s="32">
        <f t="shared" si="1"/>
        <v>0.1046036364</v>
      </c>
    </row>
    <row r="142">
      <c r="A142" s="16">
        <v>3.0</v>
      </c>
      <c r="B142" s="33" t="s">
        <v>39</v>
      </c>
      <c r="C142" s="33" t="s">
        <v>82</v>
      </c>
      <c r="D142" s="35"/>
      <c r="E142" s="27"/>
      <c r="F142" s="35">
        <v>4.9</v>
      </c>
      <c r="G142" s="36"/>
      <c r="H142" s="39"/>
      <c r="I142" s="32" t="str">
        <f t="shared" si="1"/>
        <v/>
      </c>
    </row>
    <row r="143">
      <c r="A143" s="16">
        <v>4.0</v>
      </c>
      <c r="B143" s="33" t="s">
        <v>39</v>
      </c>
      <c r="C143" s="33" t="s">
        <v>13</v>
      </c>
      <c r="D143" s="35">
        <v>1.0</v>
      </c>
      <c r="E143" s="27" t="s">
        <v>14</v>
      </c>
      <c r="F143" s="35">
        <v>5.752</v>
      </c>
      <c r="G143" s="36">
        <v>18286.0</v>
      </c>
      <c r="H143" s="39">
        <v>1.8</v>
      </c>
      <c r="I143" s="32">
        <f t="shared" si="1"/>
        <v>0.01218909091</v>
      </c>
    </row>
    <row r="144">
      <c r="A144" s="16">
        <v>5.0</v>
      </c>
      <c r="B144" s="33" t="s">
        <v>39</v>
      </c>
      <c r="C144" s="33" t="s">
        <v>15</v>
      </c>
      <c r="D144" s="35">
        <v>1.0</v>
      </c>
      <c r="E144" s="27" t="s">
        <v>16</v>
      </c>
      <c r="F144" s="35">
        <v>5.876</v>
      </c>
      <c r="G144" s="36">
        <v>660795.0</v>
      </c>
      <c r="H144" s="39">
        <v>65.16</v>
      </c>
      <c r="I144" s="32">
        <f t="shared" si="1"/>
        <v>0.3042386364</v>
      </c>
    </row>
    <row r="145">
      <c r="A145" s="16">
        <v>6.0</v>
      </c>
      <c r="B145" s="33" t="s">
        <v>39</v>
      </c>
      <c r="C145" s="33" t="s">
        <v>17</v>
      </c>
      <c r="D145" s="35">
        <v>2.0</v>
      </c>
      <c r="E145" s="27" t="s">
        <v>18</v>
      </c>
      <c r="F145" s="35">
        <v>6.432</v>
      </c>
      <c r="G145" s="36">
        <v>92373.0</v>
      </c>
      <c r="H145" s="39">
        <v>9.11</v>
      </c>
      <c r="I145" s="32">
        <f t="shared" si="1"/>
        <v>0.045865</v>
      </c>
    </row>
    <row r="146">
      <c r="A146" s="16">
        <v>7.0</v>
      </c>
      <c r="B146" s="33" t="s">
        <v>39</v>
      </c>
      <c r="C146" s="33"/>
      <c r="D146" s="35">
        <v>2.0</v>
      </c>
      <c r="E146" s="27" t="s">
        <v>19</v>
      </c>
      <c r="F146" s="35">
        <v>6.661</v>
      </c>
      <c r="G146" s="36">
        <v>4852.0</v>
      </c>
      <c r="H146" s="39">
        <v>0.48</v>
      </c>
      <c r="I146" s="32">
        <f t="shared" si="1"/>
        <v>0.006082727273</v>
      </c>
    </row>
    <row r="147">
      <c r="A147" s="16">
        <v>8.0</v>
      </c>
      <c r="B147" s="33" t="s">
        <v>39</v>
      </c>
      <c r="C147" s="33"/>
      <c r="D147" s="35">
        <v>2.0</v>
      </c>
      <c r="E147" s="27" t="s">
        <v>22</v>
      </c>
      <c r="F147" s="35">
        <v>6.718</v>
      </c>
      <c r="G147" s="36">
        <v>298.0</v>
      </c>
      <c r="H147" s="39">
        <v>0.03</v>
      </c>
      <c r="I147" s="32">
        <f t="shared" si="1"/>
        <v>0.004012727273</v>
      </c>
    </row>
    <row r="148">
      <c r="A148" s="16">
        <v>9.0</v>
      </c>
      <c r="B148" s="33" t="s">
        <v>39</v>
      </c>
      <c r="C148" s="33"/>
      <c r="D148" s="35"/>
      <c r="E148" s="27"/>
      <c r="F148" s="35">
        <v>7.054</v>
      </c>
      <c r="G148" s="36">
        <v>4464.0</v>
      </c>
      <c r="H148" s="39">
        <v>0.44</v>
      </c>
      <c r="I148" s="32">
        <f t="shared" si="1"/>
        <v>0.005906363636</v>
      </c>
    </row>
    <row r="149">
      <c r="A149" s="16">
        <v>10.0</v>
      </c>
      <c r="B149" s="33" t="s">
        <v>39</v>
      </c>
      <c r="C149" s="33"/>
      <c r="D149" s="35">
        <v>3.0</v>
      </c>
      <c r="E149" s="27" t="s">
        <v>20</v>
      </c>
      <c r="F149" s="35">
        <v>7.159</v>
      </c>
      <c r="G149" s="36">
        <v>2484.0</v>
      </c>
      <c r="H149" s="39">
        <v>0.24</v>
      </c>
      <c r="I149" s="32">
        <f t="shared" si="1"/>
        <v>0.005006363636</v>
      </c>
    </row>
    <row r="150">
      <c r="A150" s="16">
        <v>11.0</v>
      </c>
      <c r="B150" s="33" t="s">
        <v>39</v>
      </c>
      <c r="C150" s="33"/>
      <c r="D150" s="35"/>
      <c r="E150" s="27"/>
      <c r="F150" s="35">
        <v>7.339</v>
      </c>
      <c r="G150" s="36">
        <v>4974.0</v>
      </c>
      <c r="H150" s="39">
        <v>0.49</v>
      </c>
      <c r="I150" s="32">
        <f t="shared" si="1"/>
        <v>0.006138181818</v>
      </c>
    </row>
    <row r="151">
      <c r="A151" s="16">
        <v>1.0</v>
      </c>
      <c r="B151" s="33" t="s">
        <v>35</v>
      </c>
      <c r="C151" s="33" t="s">
        <v>80</v>
      </c>
      <c r="D151" s="35"/>
      <c r="E151" s="27"/>
      <c r="F151" s="35">
        <v>4.493</v>
      </c>
      <c r="G151" s="36">
        <v>4334.0</v>
      </c>
      <c r="H151" s="39">
        <v>0.39</v>
      </c>
      <c r="I151" s="32">
        <f t="shared" si="1"/>
        <v>0.005847272727</v>
      </c>
    </row>
    <row r="152">
      <c r="A152" s="16">
        <v>2.0</v>
      </c>
      <c r="B152" s="33" t="s">
        <v>35</v>
      </c>
      <c r="C152" s="41" t="s">
        <v>10</v>
      </c>
      <c r="D152" s="41">
        <v>0.0</v>
      </c>
      <c r="E152" s="27" t="s">
        <v>11</v>
      </c>
      <c r="F152" s="41">
        <v>4.75</v>
      </c>
      <c r="G152" s="40">
        <v>241027.0</v>
      </c>
      <c r="H152" s="61">
        <v>21.46</v>
      </c>
      <c r="I152" s="32">
        <f t="shared" si="1"/>
        <v>0.113435</v>
      </c>
    </row>
    <row r="153">
      <c r="A153" s="16">
        <v>3.0</v>
      </c>
      <c r="B153" s="33" t="s">
        <v>35</v>
      </c>
      <c r="C153" s="33" t="s">
        <v>82</v>
      </c>
      <c r="D153" s="38"/>
      <c r="E153" s="27"/>
      <c r="F153" s="38">
        <v>4.963</v>
      </c>
      <c r="G153" s="36">
        <v>4395.0</v>
      </c>
      <c r="H153" s="39">
        <v>0.39</v>
      </c>
      <c r="I153" s="32">
        <f t="shared" si="1"/>
        <v>0.005875</v>
      </c>
    </row>
    <row r="154">
      <c r="A154" s="16">
        <v>4.0</v>
      </c>
      <c r="B154" s="33" t="s">
        <v>35</v>
      </c>
      <c r="C154" s="33" t="s">
        <v>13</v>
      </c>
      <c r="D154" s="35">
        <v>1.0</v>
      </c>
      <c r="E154" s="27" t="s">
        <v>14</v>
      </c>
      <c r="F154" s="35">
        <v>5.752</v>
      </c>
      <c r="G154" s="36">
        <v>20456.0</v>
      </c>
      <c r="H154" s="39">
        <v>1.82</v>
      </c>
      <c r="I154" s="32">
        <f t="shared" si="1"/>
        <v>0.01317545455</v>
      </c>
    </row>
    <row r="155">
      <c r="A155" s="16">
        <v>5.0</v>
      </c>
      <c r="B155" s="33" t="s">
        <v>35</v>
      </c>
      <c r="C155" s="33" t="s">
        <v>15</v>
      </c>
      <c r="D155" s="38">
        <v>1.0</v>
      </c>
      <c r="E155" s="27" t="s">
        <v>16</v>
      </c>
      <c r="F155" s="38">
        <v>5.876</v>
      </c>
      <c r="G155" s="36">
        <v>733753.0</v>
      </c>
      <c r="H155" s="39">
        <v>65.33</v>
      </c>
      <c r="I155" s="32">
        <f t="shared" si="1"/>
        <v>0.3374013636</v>
      </c>
    </row>
    <row r="156">
      <c r="A156" s="16">
        <v>6.0</v>
      </c>
      <c r="B156" s="33" t="s">
        <v>35</v>
      </c>
      <c r="C156" s="33" t="s">
        <v>17</v>
      </c>
      <c r="D156" s="38">
        <v>2.0</v>
      </c>
      <c r="E156" s="27" t="s">
        <v>18</v>
      </c>
      <c r="F156" s="38">
        <v>6.431</v>
      </c>
      <c r="G156" s="36">
        <v>101268.0</v>
      </c>
      <c r="H156" s="39">
        <v>9.02</v>
      </c>
      <c r="I156" s="32">
        <f t="shared" si="1"/>
        <v>0.04990818182</v>
      </c>
    </row>
    <row r="157">
      <c r="A157" s="16">
        <v>7.0</v>
      </c>
      <c r="B157" s="33" t="s">
        <v>35</v>
      </c>
      <c r="C157" s="33"/>
      <c r="D157" s="38">
        <v>2.0</v>
      </c>
      <c r="E157" s="27" t="s">
        <v>19</v>
      </c>
      <c r="F157" s="38">
        <v>6.66</v>
      </c>
      <c r="G157" s="36">
        <v>5620.0</v>
      </c>
      <c r="H157" s="39">
        <v>0.5</v>
      </c>
      <c r="I157" s="32">
        <f t="shared" si="1"/>
        <v>0.006431818182</v>
      </c>
    </row>
    <row r="158">
      <c r="A158" s="16">
        <v>8.0</v>
      </c>
      <c r="B158" s="33" t="s">
        <v>35</v>
      </c>
      <c r="C158" s="33"/>
      <c r="D158" s="38">
        <v>2.0</v>
      </c>
      <c r="E158" s="27" t="s">
        <v>22</v>
      </c>
      <c r="F158" s="38">
        <v>6.718</v>
      </c>
      <c r="G158" s="36">
        <v>387.0</v>
      </c>
      <c r="H158" s="39">
        <v>0.03</v>
      </c>
      <c r="I158" s="32">
        <f t="shared" si="1"/>
        <v>0.004053181818</v>
      </c>
    </row>
    <row r="159">
      <c r="A159" s="16">
        <v>9.0</v>
      </c>
      <c r="B159" s="33" t="s">
        <v>35</v>
      </c>
      <c r="C159" s="33"/>
      <c r="D159" s="38"/>
      <c r="E159" s="27"/>
      <c r="F159" s="38">
        <v>7.053</v>
      </c>
      <c r="G159" s="36">
        <v>4859.0</v>
      </c>
      <c r="H159" s="39">
        <v>0.43</v>
      </c>
      <c r="I159" s="32">
        <f t="shared" si="1"/>
        <v>0.006085909091</v>
      </c>
    </row>
    <row r="160">
      <c r="A160" s="16">
        <v>10.0</v>
      </c>
      <c r="B160" s="33" t="s">
        <v>35</v>
      </c>
      <c r="C160" s="33"/>
      <c r="D160" s="38">
        <v>3.0</v>
      </c>
      <c r="E160" s="27" t="s">
        <v>20</v>
      </c>
      <c r="F160" s="38">
        <v>7.157</v>
      </c>
      <c r="G160" s="36">
        <v>2596.0</v>
      </c>
      <c r="H160" s="39">
        <v>0.23</v>
      </c>
      <c r="I160" s="32">
        <f t="shared" si="1"/>
        <v>0.005057272727</v>
      </c>
    </row>
    <row r="161">
      <c r="A161" s="16">
        <v>11.0</v>
      </c>
      <c r="B161" s="33" t="s">
        <v>35</v>
      </c>
      <c r="C161" s="33"/>
      <c r="D161" s="38"/>
      <c r="E161" s="27"/>
      <c r="F161" s="38">
        <v>7.331</v>
      </c>
      <c r="G161" s="36">
        <v>4526.0</v>
      </c>
      <c r="H161" s="39">
        <v>0.4</v>
      </c>
      <c r="I161" s="32">
        <f t="shared" si="1"/>
        <v>0.005934545455</v>
      </c>
    </row>
    <row r="162">
      <c r="A162" s="16">
        <v>1.0</v>
      </c>
      <c r="B162" s="33" t="s">
        <v>40</v>
      </c>
      <c r="C162" s="33" t="s">
        <v>80</v>
      </c>
      <c r="D162" s="38"/>
      <c r="E162" s="27"/>
      <c r="F162" s="38">
        <v>4.492</v>
      </c>
      <c r="G162" s="36">
        <v>4298.0</v>
      </c>
      <c r="H162" s="39">
        <v>0.4</v>
      </c>
      <c r="I162" s="32">
        <f t="shared" si="1"/>
        <v>0.005830909091</v>
      </c>
    </row>
    <row r="163">
      <c r="A163" s="16">
        <v>2.0</v>
      </c>
      <c r="B163" s="33" t="s">
        <v>40</v>
      </c>
      <c r="C163" s="41" t="s">
        <v>10</v>
      </c>
      <c r="D163" s="38">
        <v>0.0</v>
      </c>
      <c r="E163" s="27" t="s">
        <v>11</v>
      </c>
      <c r="F163" s="38">
        <v>4.746</v>
      </c>
      <c r="G163" s="36">
        <v>229739.0</v>
      </c>
      <c r="H163" s="39">
        <v>21.36</v>
      </c>
      <c r="I163" s="32">
        <f t="shared" si="1"/>
        <v>0.1083040909</v>
      </c>
    </row>
    <row r="164">
      <c r="A164" s="16">
        <v>3.0</v>
      </c>
      <c r="B164" s="33" t="s">
        <v>40</v>
      </c>
      <c r="C164" s="33" t="s">
        <v>82</v>
      </c>
      <c r="D164" s="38"/>
      <c r="E164" s="27"/>
      <c r="F164" s="38">
        <v>4.963</v>
      </c>
      <c r="G164" s="36">
        <v>4372.0</v>
      </c>
      <c r="H164" s="39">
        <v>0.41</v>
      </c>
      <c r="I164" s="32">
        <f t="shared" si="1"/>
        <v>0.005864545455</v>
      </c>
    </row>
    <row r="165">
      <c r="A165" s="16">
        <v>4.0</v>
      </c>
      <c r="B165" s="33" t="s">
        <v>40</v>
      </c>
      <c r="C165" s="33" t="s">
        <v>13</v>
      </c>
      <c r="D165" s="38">
        <v>1.0</v>
      </c>
      <c r="E165" s="27" t="s">
        <v>14</v>
      </c>
      <c r="F165" s="38">
        <v>5.752</v>
      </c>
      <c r="G165" s="36">
        <v>19128.0</v>
      </c>
      <c r="H165" s="39">
        <v>1.78</v>
      </c>
      <c r="I165" s="32">
        <f t="shared" si="1"/>
        <v>0.01257181818</v>
      </c>
    </row>
    <row r="166">
      <c r="A166" s="16">
        <v>5.0</v>
      </c>
      <c r="B166" s="33" t="s">
        <v>40</v>
      </c>
      <c r="C166" s="33" t="s">
        <v>15</v>
      </c>
      <c r="D166" s="38">
        <v>1.0</v>
      </c>
      <c r="E166" s="27" t="s">
        <v>16</v>
      </c>
      <c r="F166" s="38">
        <v>5.876</v>
      </c>
      <c r="G166" s="36">
        <v>704443.0</v>
      </c>
      <c r="H166" s="39">
        <v>65.5</v>
      </c>
      <c r="I166" s="32">
        <f t="shared" si="1"/>
        <v>0.3240786364</v>
      </c>
    </row>
    <row r="167">
      <c r="A167" s="16">
        <v>6.0</v>
      </c>
      <c r="B167" s="33" t="s">
        <v>40</v>
      </c>
      <c r="C167" s="33" t="s">
        <v>17</v>
      </c>
      <c r="D167" s="38">
        <v>2.0</v>
      </c>
      <c r="E167" s="27" t="s">
        <v>18</v>
      </c>
      <c r="F167" s="38">
        <v>6.431</v>
      </c>
      <c r="G167" s="36">
        <v>96212.0</v>
      </c>
      <c r="H167" s="39">
        <v>8.95</v>
      </c>
      <c r="I167" s="32">
        <f t="shared" si="1"/>
        <v>0.04761</v>
      </c>
    </row>
    <row r="168">
      <c r="A168" s="16">
        <v>7.0</v>
      </c>
      <c r="B168" s="33" t="s">
        <v>40</v>
      </c>
      <c r="C168" s="33"/>
      <c r="D168" s="38">
        <v>2.0</v>
      </c>
      <c r="E168" s="27" t="s">
        <v>19</v>
      </c>
      <c r="F168" s="38">
        <v>6.659</v>
      </c>
      <c r="G168" s="36">
        <v>5026.0</v>
      </c>
      <c r="H168" s="39">
        <v>0.47</v>
      </c>
      <c r="I168" s="32">
        <f t="shared" si="1"/>
        <v>0.006161818182</v>
      </c>
    </row>
    <row r="169">
      <c r="A169" s="16">
        <v>8.0</v>
      </c>
      <c r="B169" s="33" t="s">
        <v>40</v>
      </c>
      <c r="C169" s="33"/>
      <c r="D169" s="38"/>
      <c r="E169" s="27"/>
      <c r="F169" s="38">
        <v>7.053</v>
      </c>
      <c r="G169" s="36">
        <v>4712.0</v>
      </c>
      <c r="H169" s="39">
        <v>0.44</v>
      </c>
      <c r="I169" s="32">
        <f t="shared" si="1"/>
        <v>0.006019090909</v>
      </c>
    </row>
    <row r="170">
      <c r="A170" s="16">
        <v>9.0</v>
      </c>
      <c r="B170" s="33" t="s">
        <v>40</v>
      </c>
      <c r="C170" s="33"/>
      <c r="D170" s="38">
        <v>3.0</v>
      </c>
      <c r="E170" s="27" t="s">
        <v>20</v>
      </c>
      <c r="F170" s="38">
        <v>7.156</v>
      </c>
      <c r="G170" s="36">
        <v>2600.0</v>
      </c>
      <c r="H170" s="39">
        <v>0.24</v>
      </c>
      <c r="I170" s="32">
        <f t="shared" si="1"/>
        <v>0.005059090909</v>
      </c>
    </row>
    <row r="171">
      <c r="A171" s="16">
        <v>10.0</v>
      </c>
      <c r="B171" s="33" t="s">
        <v>40</v>
      </c>
      <c r="C171" s="33"/>
      <c r="D171" s="38"/>
      <c r="E171" s="27"/>
      <c r="F171" s="38">
        <v>7.329</v>
      </c>
      <c r="G171" s="36">
        <v>4904.0</v>
      </c>
      <c r="H171" s="39">
        <v>0.46</v>
      </c>
      <c r="I171" s="32">
        <f t="shared" si="1"/>
        <v>0.006106363636</v>
      </c>
    </row>
    <row r="172">
      <c r="A172" s="16">
        <v>1.0</v>
      </c>
      <c r="B172" s="33" t="s">
        <v>37</v>
      </c>
      <c r="C172" s="33" t="s">
        <v>80</v>
      </c>
      <c r="D172" s="38"/>
      <c r="E172" s="27"/>
      <c r="F172" s="38">
        <v>4.495</v>
      </c>
      <c r="G172" s="36">
        <v>4196.0</v>
      </c>
      <c r="H172" s="39">
        <v>0.34</v>
      </c>
      <c r="I172" s="32">
        <f t="shared" si="1"/>
        <v>0.005784545455</v>
      </c>
    </row>
    <row r="173">
      <c r="A173" s="16">
        <v>2.0</v>
      </c>
      <c r="B173" s="33" t="s">
        <v>37</v>
      </c>
      <c r="C173" s="41" t="s">
        <v>10</v>
      </c>
      <c r="D173" s="38">
        <v>0.0</v>
      </c>
      <c r="E173" s="27" t="s">
        <v>11</v>
      </c>
      <c r="F173" s="38">
        <v>4.744</v>
      </c>
      <c r="G173" s="36">
        <v>304051.0</v>
      </c>
      <c r="H173" s="39">
        <v>24.46</v>
      </c>
      <c r="I173" s="32">
        <f t="shared" si="1"/>
        <v>0.1420822727</v>
      </c>
    </row>
    <row r="174">
      <c r="A174" s="16">
        <v>3.0</v>
      </c>
      <c r="B174" s="33" t="s">
        <v>37</v>
      </c>
      <c r="C174" s="33" t="s">
        <v>82</v>
      </c>
      <c r="D174" s="38"/>
      <c r="E174" s="27"/>
      <c r="F174" s="38">
        <v>4.963</v>
      </c>
      <c r="G174" s="36">
        <v>5933.0</v>
      </c>
      <c r="H174" s="39">
        <v>0.48</v>
      </c>
      <c r="I174" s="32">
        <f t="shared" si="1"/>
        <v>0.006574090909</v>
      </c>
    </row>
    <row r="175">
      <c r="A175" s="16">
        <v>4.0</v>
      </c>
      <c r="B175" s="33" t="s">
        <v>37</v>
      </c>
      <c r="C175" s="33" t="s">
        <v>13</v>
      </c>
      <c r="D175" s="38">
        <v>1.0</v>
      </c>
      <c r="E175" s="27" t="s">
        <v>14</v>
      </c>
      <c r="F175" s="38">
        <v>5.75</v>
      </c>
      <c r="G175" s="36">
        <v>22314.0</v>
      </c>
      <c r="H175" s="39">
        <v>1.8</v>
      </c>
      <c r="I175" s="32">
        <f t="shared" si="1"/>
        <v>0.01402</v>
      </c>
    </row>
    <row r="176">
      <c r="A176" s="16">
        <v>5.0</v>
      </c>
      <c r="B176" s="33" t="s">
        <v>37</v>
      </c>
      <c r="C176" s="33" t="s">
        <v>15</v>
      </c>
      <c r="D176" s="38">
        <v>1.0</v>
      </c>
      <c r="E176" s="27" t="s">
        <v>16</v>
      </c>
      <c r="F176" s="38">
        <v>5.875</v>
      </c>
      <c r="G176" s="36">
        <v>780378.0</v>
      </c>
      <c r="H176" s="39">
        <v>62.79</v>
      </c>
      <c r="I176" s="32">
        <f t="shared" si="1"/>
        <v>0.3585945455</v>
      </c>
    </row>
    <row r="177">
      <c r="A177" s="16">
        <v>6.0</v>
      </c>
      <c r="B177" s="33" t="s">
        <v>37</v>
      </c>
      <c r="C177" s="33" t="s">
        <v>17</v>
      </c>
      <c r="D177" s="38">
        <v>2.0</v>
      </c>
      <c r="E177" s="27" t="s">
        <v>18</v>
      </c>
      <c r="F177" s="38">
        <v>6.429</v>
      </c>
      <c r="G177" s="36">
        <v>106001.0</v>
      </c>
      <c r="H177" s="39">
        <v>8.53</v>
      </c>
      <c r="I177" s="32">
        <f t="shared" si="1"/>
        <v>0.05205954545</v>
      </c>
    </row>
    <row r="178">
      <c r="A178" s="16">
        <v>7.0</v>
      </c>
      <c r="B178" s="33" t="s">
        <v>37</v>
      </c>
      <c r="C178" s="33"/>
      <c r="D178" s="38">
        <v>2.0</v>
      </c>
      <c r="E178" s="27" t="s">
        <v>19</v>
      </c>
      <c r="F178" s="38">
        <v>6.657</v>
      </c>
      <c r="G178" s="36">
        <v>5682.0</v>
      </c>
      <c r="H178" s="39">
        <v>0.46</v>
      </c>
      <c r="I178" s="32">
        <f t="shared" si="1"/>
        <v>0.00646</v>
      </c>
    </row>
    <row r="179">
      <c r="A179" s="16">
        <v>8.0</v>
      </c>
      <c r="B179" s="33" t="s">
        <v>37</v>
      </c>
      <c r="C179" s="33"/>
      <c r="D179" s="38"/>
      <c r="E179" s="27"/>
      <c r="F179" s="38">
        <v>7.051</v>
      </c>
      <c r="G179" s="36">
        <v>5772.0</v>
      </c>
      <c r="H179" s="39">
        <v>0.46</v>
      </c>
      <c r="I179" s="32">
        <f t="shared" si="1"/>
        <v>0.006500909091</v>
      </c>
    </row>
    <row r="180">
      <c r="A180" s="16">
        <v>9.0</v>
      </c>
      <c r="B180" s="33" t="s">
        <v>37</v>
      </c>
      <c r="C180" s="33"/>
      <c r="D180" s="38">
        <v>3.0</v>
      </c>
      <c r="E180" s="27" t="s">
        <v>20</v>
      </c>
      <c r="F180" s="38">
        <v>7.155</v>
      </c>
      <c r="G180" s="36">
        <v>3300.0</v>
      </c>
      <c r="H180" s="39">
        <v>0.27</v>
      </c>
      <c r="I180" s="32">
        <f t="shared" si="1"/>
        <v>0.005377272727</v>
      </c>
    </row>
    <row r="181">
      <c r="A181" s="16">
        <v>10.0</v>
      </c>
      <c r="B181" s="33" t="s">
        <v>37</v>
      </c>
      <c r="C181" s="33"/>
      <c r="D181" s="38"/>
      <c r="E181" s="27"/>
      <c r="F181" s="38">
        <v>7.335</v>
      </c>
      <c r="G181" s="36">
        <v>5295.0</v>
      </c>
      <c r="H181" s="39">
        <v>0.43</v>
      </c>
      <c r="I181" s="32">
        <f t="shared" si="1"/>
        <v>0.006284090909</v>
      </c>
    </row>
    <row r="182">
      <c r="A182" s="16">
        <v>1.0</v>
      </c>
      <c r="B182" s="33" t="s">
        <v>41</v>
      </c>
      <c r="C182" s="33" t="s">
        <v>80</v>
      </c>
      <c r="D182" s="38"/>
      <c r="E182" s="27"/>
      <c r="F182" s="38">
        <v>4.497</v>
      </c>
      <c r="G182" s="36">
        <v>5194.0</v>
      </c>
      <c r="H182" s="39">
        <v>0.46</v>
      </c>
      <c r="I182" s="32">
        <f t="shared" si="1"/>
        <v>0.006238181818</v>
      </c>
    </row>
    <row r="183">
      <c r="A183" s="16">
        <v>2.0</v>
      </c>
      <c r="B183" s="33" t="s">
        <v>41</v>
      </c>
      <c r="C183" s="33" t="s">
        <v>10</v>
      </c>
      <c r="D183" s="38">
        <v>0.0</v>
      </c>
      <c r="E183" s="27" t="s">
        <v>11</v>
      </c>
      <c r="F183" s="38">
        <v>4.753</v>
      </c>
      <c r="G183" s="36">
        <v>248651.0</v>
      </c>
      <c r="H183" s="39">
        <v>21.8</v>
      </c>
      <c r="I183" s="32">
        <f t="shared" si="1"/>
        <v>0.1169004545</v>
      </c>
    </row>
    <row r="184">
      <c r="A184" s="16">
        <v>3.0</v>
      </c>
      <c r="B184" s="33" t="s">
        <v>41</v>
      </c>
      <c r="C184" s="33" t="s">
        <v>82</v>
      </c>
      <c r="D184" s="38"/>
      <c r="E184" s="27"/>
      <c r="F184" s="38">
        <v>4.963</v>
      </c>
      <c r="G184" s="36">
        <v>6659.0</v>
      </c>
      <c r="H184" s="39">
        <v>0.58</v>
      </c>
      <c r="I184" s="32">
        <f t="shared" si="1"/>
        <v>0.006904090909</v>
      </c>
    </row>
    <row r="185">
      <c r="A185" s="16">
        <v>4.0</v>
      </c>
      <c r="B185" s="33" t="s">
        <v>41</v>
      </c>
      <c r="C185" s="33" t="s">
        <v>13</v>
      </c>
      <c r="D185" s="38">
        <v>1.0</v>
      </c>
      <c r="E185" s="27" t="s">
        <v>14</v>
      </c>
      <c r="F185" s="38">
        <v>5.752</v>
      </c>
      <c r="G185" s="36">
        <v>20712.0</v>
      </c>
      <c r="H185" s="39">
        <v>1.82</v>
      </c>
      <c r="I185" s="32">
        <f t="shared" si="1"/>
        <v>0.01329181818</v>
      </c>
    </row>
    <row r="186">
      <c r="A186" s="16">
        <v>5.0</v>
      </c>
      <c r="B186" s="33" t="s">
        <v>41</v>
      </c>
      <c r="C186" s="33" t="s">
        <v>15</v>
      </c>
      <c r="D186" s="38">
        <v>1.0</v>
      </c>
      <c r="E186" s="27" t="s">
        <v>16</v>
      </c>
      <c r="F186" s="38">
        <v>5.877</v>
      </c>
      <c r="G186" s="36">
        <v>740067.0</v>
      </c>
      <c r="H186" s="39">
        <v>64.87</v>
      </c>
      <c r="I186" s="32">
        <f t="shared" si="1"/>
        <v>0.3402713636</v>
      </c>
    </row>
    <row r="187">
      <c r="A187" s="16">
        <v>6.0</v>
      </c>
      <c r="B187" s="33" t="s">
        <v>41</v>
      </c>
      <c r="C187" s="33" t="s">
        <v>17</v>
      </c>
      <c r="D187" s="38">
        <v>2.0</v>
      </c>
      <c r="E187" s="27" t="s">
        <v>18</v>
      </c>
      <c r="F187" s="38">
        <v>6.432</v>
      </c>
      <c r="G187" s="36">
        <v>100463.0</v>
      </c>
      <c r="H187" s="39">
        <v>8.81</v>
      </c>
      <c r="I187" s="32">
        <f t="shared" si="1"/>
        <v>0.04954227273</v>
      </c>
    </row>
    <row r="188">
      <c r="A188" s="16">
        <v>7.0</v>
      </c>
      <c r="B188" s="33" t="s">
        <v>41</v>
      </c>
      <c r="C188" s="33"/>
      <c r="D188" s="38">
        <v>2.0</v>
      </c>
      <c r="E188" s="27" t="s">
        <v>19</v>
      </c>
      <c r="F188" s="38">
        <v>6.659</v>
      </c>
      <c r="G188" s="36">
        <v>5630.0</v>
      </c>
      <c r="H188" s="39">
        <v>0.49</v>
      </c>
      <c r="I188" s="32">
        <f t="shared" si="1"/>
        <v>0.006436363636</v>
      </c>
    </row>
    <row r="189">
      <c r="A189" s="16">
        <v>8.0</v>
      </c>
      <c r="B189" s="33" t="s">
        <v>41</v>
      </c>
      <c r="C189" s="33"/>
      <c r="D189" s="38"/>
      <c r="E189" s="27"/>
      <c r="F189" s="38">
        <v>7.051</v>
      </c>
      <c r="G189" s="36">
        <v>5383.0</v>
      </c>
      <c r="H189" s="39">
        <v>0.47</v>
      </c>
      <c r="I189" s="32">
        <f t="shared" si="1"/>
        <v>0.006324090909</v>
      </c>
    </row>
    <row r="190">
      <c r="A190" s="16">
        <v>9.0</v>
      </c>
      <c r="B190" s="33" t="s">
        <v>41</v>
      </c>
      <c r="C190" s="33"/>
      <c r="D190" s="38">
        <v>3.0</v>
      </c>
      <c r="E190" s="27" t="s">
        <v>20</v>
      </c>
      <c r="F190" s="38">
        <v>7.155</v>
      </c>
      <c r="G190" s="36">
        <v>2861.0</v>
      </c>
      <c r="H190" s="39">
        <v>0.25</v>
      </c>
      <c r="I190" s="32">
        <f t="shared" si="1"/>
        <v>0.005177727273</v>
      </c>
    </row>
    <row r="191">
      <c r="A191" s="16">
        <v>10.0</v>
      </c>
      <c r="B191" s="33" t="s">
        <v>41</v>
      </c>
      <c r="C191" s="33"/>
      <c r="D191" s="38"/>
      <c r="E191" s="27"/>
      <c r="F191" s="38">
        <v>7.338</v>
      </c>
      <c r="G191" s="36">
        <v>5162.0</v>
      </c>
      <c r="H191" s="39">
        <v>0.45</v>
      </c>
      <c r="I191" s="32">
        <f t="shared" si="1"/>
        <v>0.006223636364</v>
      </c>
    </row>
    <row r="192">
      <c r="A192" s="16">
        <v>1.0</v>
      </c>
      <c r="B192" s="33" t="s">
        <v>38</v>
      </c>
      <c r="C192" s="33" t="s">
        <v>80</v>
      </c>
      <c r="D192" s="38"/>
      <c r="E192" s="27"/>
      <c r="F192" s="38">
        <v>4.494</v>
      </c>
      <c r="G192" s="36">
        <v>5279.0</v>
      </c>
      <c r="H192" s="39">
        <v>0.48</v>
      </c>
      <c r="I192" s="32">
        <f t="shared" si="1"/>
        <v>0.006276818182</v>
      </c>
    </row>
    <row r="193">
      <c r="A193" s="16">
        <v>2.0</v>
      </c>
      <c r="B193" s="33" t="s">
        <v>38</v>
      </c>
      <c r="C193" s="41" t="s">
        <v>10</v>
      </c>
      <c r="D193" s="38">
        <v>0.0</v>
      </c>
      <c r="E193" s="27" t="s">
        <v>11</v>
      </c>
      <c r="F193" s="38">
        <v>4.752</v>
      </c>
      <c r="G193" s="36">
        <v>238515.0</v>
      </c>
      <c r="H193" s="39">
        <v>21.6</v>
      </c>
      <c r="I193" s="32">
        <f t="shared" si="1"/>
        <v>0.1122931818</v>
      </c>
    </row>
    <row r="194">
      <c r="A194" s="16">
        <v>3.0</v>
      </c>
      <c r="B194" s="33" t="s">
        <v>38</v>
      </c>
      <c r="C194" s="33" t="s">
        <v>82</v>
      </c>
      <c r="D194" s="38"/>
      <c r="E194" s="27"/>
      <c r="F194" s="38">
        <v>4.963</v>
      </c>
      <c r="G194" s="36">
        <v>7455.0</v>
      </c>
      <c r="H194" s="39">
        <v>0.68</v>
      </c>
      <c r="I194" s="32">
        <f t="shared" si="1"/>
        <v>0.007265909091</v>
      </c>
    </row>
    <row r="195">
      <c r="A195" s="16">
        <v>4.0</v>
      </c>
      <c r="B195" s="33" t="s">
        <v>38</v>
      </c>
      <c r="C195" s="33" t="s">
        <v>13</v>
      </c>
      <c r="D195" s="38">
        <v>1.0</v>
      </c>
      <c r="E195" s="27" t="s">
        <v>14</v>
      </c>
      <c r="F195" s="38">
        <v>5.753</v>
      </c>
      <c r="G195" s="36">
        <v>20060.0</v>
      </c>
      <c r="H195" s="39">
        <v>1.82</v>
      </c>
      <c r="I195" s="32">
        <f t="shared" si="1"/>
        <v>0.01299545455</v>
      </c>
    </row>
    <row r="196">
      <c r="A196" s="16">
        <v>5.0</v>
      </c>
      <c r="B196" s="33" t="s">
        <v>38</v>
      </c>
      <c r="C196" s="33" t="s">
        <v>15</v>
      </c>
      <c r="D196" s="38">
        <v>1.0</v>
      </c>
      <c r="E196" s="27" t="s">
        <v>16</v>
      </c>
      <c r="F196" s="38">
        <v>5.877</v>
      </c>
      <c r="G196" s="36">
        <v>716664.0</v>
      </c>
      <c r="H196" s="39">
        <v>64.9</v>
      </c>
      <c r="I196" s="32">
        <f t="shared" si="1"/>
        <v>0.3296336364</v>
      </c>
    </row>
    <row r="197">
      <c r="A197" s="16">
        <v>6.0</v>
      </c>
      <c r="B197" s="33" t="s">
        <v>38</v>
      </c>
      <c r="C197" s="33" t="s">
        <v>17</v>
      </c>
      <c r="D197" s="38">
        <v>2.0</v>
      </c>
      <c r="E197" s="27" t="s">
        <v>18</v>
      </c>
      <c r="F197" s="38">
        <v>6.43</v>
      </c>
      <c r="G197" s="36">
        <v>97781.0</v>
      </c>
      <c r="H197" s="39">
        <v>8.85</v>
      </c>
      <c r="I197" s="32">
        <f t="shared" si="1"/>
        <v>0.04832318182</v>
      </c>
    </row>
    <row r="198">
      <c r="A198" s="16">
        <v>7.0</v>
      </c>
      <c r="B198" s="33" t="s">
        <v>38</v>
      </c>
      <c r="C198" s="33"/>
      <c r="D198" s="38">
        <v>2.0</v>
      </c>
      <c r="E198" s="27" t="s">
        <v>19</v>
      </c>
      <c r="F198" s="38">
        <v>6.659</v>
      </c>
      <c r="G198" s="36">
        <v>5996.0</v>
      </c>
      <c r="H198" s="39">
        <v>0.54</v>
      </c>
      <c r="I198" s="32">
        <f t="shared" si="1"/>
        <v>0.006602727273</v>
      </c>
    </row>
    <row r="199">
      <c r="A199" s="16">
        <v>8.0</v>
      </c>
      <c r="B199" s="33" t="s">
        <v>38</v>
      </c>
      <c r="C199" s="33"/>
      <c r="D199" s="38"/>
      <c r="E199" s="27"/>
      <c r="F199" s="38">
        <v>7.052</v>
      </c>
      <c r="G199" s="36">
        <v>4649.0</v>
      </c>
      <c r="H199" s="39">
        <v>0.42</v>
      </c>
      <c r="I199" s="32">
        <f t="shared" si="1"/>
        <v>0.005990454545</v>
      </c>
    </row>
    <row r="200">
      <c r="A200" s="16">
        <v>9.0</v>
      </c>
      <c r="B200" s="33" t="s">
        <v>38</v>
      </c>
      <c r="C200" s="33"/>
      <c r="D200" s="38">
        <v>3.0</v>
      </c>
      <c r="E200" s="27" t="s">
        <v>20</v>
      </c>
      <c r="F200" s="38">
        <v>7.156</v>
      </c>
      <c r="G200" s="36">
        <v>2626.0</v>
      </c>
      <c r="H200" s="39">
        <v>0.24</v>
      </c>
      <c r="I200" s="32">
        <f t="shared" si="1"/>
        <v>0.005070909091</v>
      </c>
    </row>
    <row r="201">
      <c r="A201" s="16">
        <v>10.0</v>
      </c>
      <c r="B201" s="33" t="s">
        <v>38</v>
      </c>
      <c r="C201" s="33"/>
      <c r="D201" s="38"/>
      <c r="E201" s="27"/>
      <c r="F201" s="38">
        <v>7.332</v>
      </c>
      <c r="G201" s="36">
        <v>5298.0</v>
      </c>
      <c r="H201" s="39">
        <v>0.48</v>
      </c>
      <c r="I201" s="32">
        <f t="shared" si="1"/>
        <v>0.006285454545</v>
      </c>
    </row>
  </sheetData>
  <autoFilter ref="$A$1:$I$201"/>
  <conditionalFormatting sqref="A2:I201">
    <cfRule type="expression" dxfId="1" priority="1">
      <formula>ISODD(MATCH($B2,UNIQUE($B$2:$B201),0))</formula>
    </cfRule>
  </conditionalFormatting>
  <dataValidations>
    <dataValidation type="list" allowBlank="1" showErrorMessage="1" sqref="E2:E201">
      <formula1>"A1,A1_B1,A1_B29,A1_B29_B1,B1,B1_B29,desb30,detemir"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.63"/>
    <col customWidth="1" min="2" max="2" width="10.0"/>
    <col customWidth="1" min="3" max="3" width="14.5"/>
    <col customWidth="1" min="4" max="4" width="8.5"/>
    <col customWidth="1" min="5" max="5" width="15.5"/>
    <col customWidth="1" min="6" max="6" width="6.5"/>
    <col customWidth="1" min="7" max="7" width="8.25"/>
    <col customWidth="1" min="8" max="8" width="10.0"/>
    <col customWidth="1" min="9" max="9" width="9.63"/>
  </cols>
  <sheetData>
    <row r="1">
      <c r="A1" s="21" t="s">
        <v>71</v>
      </c>
      <c r="B1" s="21" t="s">
        <v>70</v>
      </c>
      <c r="C1" s="21" t="s">
        <v>2</v>
      </c>
      <c r="D1" s="21" t="s">
        <v>3</v>
      </c>
      <c r="E1" s="21" t="s">
        <v>4</v>
      </c>
      <c r="F1" s="23" t="s">
        <v>5</v>
      </c>
      <c r="G1" s="22" t="s">
        <v>6</v>
      </c>
      <c r="H1" s="24" t="s">
        <v>7</v>
      </c>
      <c r="I1" s="25" t="s">
        <v>8</v>
      </c>
    </row>
    <row r="2">
      <c r="A2" s="26">
        <v>1.0</v>
      </c>
      <c r="B2" s="27" t="s">
        <v>9</v>
      </c>
      <c r="C2" s="62" t="s">
        <v>80</v>
      </c>
      <c r="D2" s="29"/>
      <c r="E2" s="27"/>
      <c r="F2" s="29">
        <v>4.47</v>
      </c>
      <c r="G2" s="30">
        <v>2137.0</v>
      </c>
      <c r="H2" s="31">
        <v>0.2</v>
      </c>
      <c r="I2" s="32">
        <f t="shared" ref="I2:I213" si="1">IF(OR(G2="",G2="-"),"",(G2+8530)/2200000)</f>
        <v>0.004848636364</v>
      </c>
    </row>
    <row r="3">
      <c r="A3" s="26">
        <v>2.0</v>
      </c>
      <c r="B3" s="27" t="s">
        <v>9</v>
      </c>
      <c r="C3" s="27" t="s">
        <v>10</v>
      </c>
      <c r="D3" s="29">
        <v>0.0</v>
      </c>
      <c r="E3" s="27" t="s">
        <v>11</v>
      </c>
      <c r="F3" s="29">
        <v>4.715</v>
      </c>
      <c r="G3" s="30">
        <v>1054485.0</v>
      </c>
      <c r="H3" s="31">
        <v>99.34</v>
      </c>
      <c r="I3" s="32">
        <f t="shared" si="1"/>
        <v>0.4831886364</v>
      </c>
    </row>
    <row r="4">
      <c r="A4" s="26">
        <v>3.0</v>
      </c>
      <c r="B4" s="27" t="s">
        <v>9</v>
      </c>
      <c r="C4" s="27" t="s">
        <v>82</v>
      </c>
      <c r="D4" s="29"/>
      <c r="E4" s="27"/>
      <c r="F4" s="29">
        <v>4.9</v>
      </c>
      <c r="G4" s="30"/>
      <c r="H4" s="31"/>
      <c r="I4" s="32" t="str">
        <f t="shared" si="1"/>
        <v/>
      </c>
    </row>
    <row r="5">
      <c r="A5" s="26">
        <v>4.0</v>
      </c>
      <c r="B5" s="27" t="s">
        <v>9</v>
      </c>
      <c r="C5" s="27" t="s">
        <v>13</v>
      </c>
      <c r="D5" s="29"/>
      <c r="E5" s="27"/>
      <c r="F5" s="29">
        <v>5.79</v>
      </c>
      <c r="G5" s="30"/>
      <c r="H5" s="31"/>
      <c r="I5" s="32" t="str">
        <f t="shared" si="1"/>
        <v/>
      </c>
    </row>
    <row r="6">
      <c r="A6" s="26">
        <v>5.0</v>
      </c>
      <c r="B6" s="27" t="s">
        <v>9</v>
      </c>
      <c r="C6" s="27" t="s">
        <v>15</v>
      </c>
      <c r="D6" s="29"/>
      <c r="E6" s="27"/>
      <c r="F6" s="29">
        <v>5.863</v>
      </c>
      <c r="G6" s="63">
        <v>1358.0</v>
      </c>
      <c r="H6" s="31">
        <v>0.13</v>
      </c>
      <c r="I6" s="32">
        <f t="shared" si="1"/>
        <v>0.004494545455</v>
      </c>
    </row>
    <row r="7">
      <c r="A7" s="26">
        <v>6.0</v>
      </c>
      <c r="B7" s="27" t="s">
        <v>9</v>
      </c>
      <c r="C7" s="27" t="s">
        <v>17</v>
      </c>
      <c r="D7" s="29"/>
      <c r="E7" s="27"/>
      <c r="F7" s="29">
        <v>6.48</v>
      </c>
      <c r="G7" s="30"/>
      <c r="H7" s="31"/>
      <c r="I7" s="32" t="str">
        <f t="shared" si="1"/>
        <v/>
      </c>
    </row>
    <row r="8">
      <c r="A8" s="26">
        <v>7.0</v>
      </c>
      <c r="B8" s="64" t="s">
        <v>9</v>
      </c>
      <c r="C8" s="27"/>
      <c r="D8" s="65"/>
      <c r="E8" s="27"/>
      <c r="F8" s="35">
        <v>7.408</v>
      </c>
      <c r="G8" s="30">
        <v>3478.0</v>
      </c>
      <c r="H8" s="66">
        <v>0.33</v>
      </c>
      <c r="I8" s="32">
        <f t="shared" si="1"/>
        <v>0.005458181818</v>
      </c>
    </row>
    <row r="9">
      <c r="A9" s="16">
        <v>1.0</v>
      </c>
      <c r="B9" s="33" t="s">
        <v>12</v>
      </c>
      <c r="C9" s="33" t="s">
        <v>80</v>
      </c>
      <c r="D9" s="35"/>
      <c r="E9" s="27"/>
      <c r="F9" s="35">
        <v>4.462</v>
      </c>
      <c r="G9" s="36">
        <v>2107.0</v>
      </c>
      <c r="H9" s="39">
        <v>0.19</v>
      </c>
      <c r="I9" s="32">
        <f t="shared" si="1"/>
        <v>0.004835</v>
      </c>
    </row>
    <row r="10">
      <c r="A10" s="16">
        <v>2.0</v>
      </c>
      <c r="B10" s="33" t="s">
        <v>12</v>
      </c>
      <c r="C10" s="33" t="s">
        <v>10</v>
      </c>
      <c r="D10" s="35">
        <v>0.0</v>
      </c>
      <c r="E10" s="27" t="s">
        <v>11</v>
      </c>
      <c r="F10" s="35">
        <v>4.728</v>
      </c>
      <c r="G10" s="67">
        <v>360279.0</v>
      </c>
      <c r="H10" s="39">
        <v>32.03</v>
      </c>
      <c r="I10" s="32">
        <f t="shared" si="1"/>
        <v>0.1676404545</v>
      </c>
    </row>
    <row r="11">
      <c r="A11" s="16">
        <v>3.0</v>
      </c>
      <c r="B11" s="33" t="s">
        <v>12</v>
      </c>
      <c r="C11" s="33" t="s">
        <v>82</v>
      </c>
      <c r="D11" s="35"/>
      <c r="E11" s="27"/>
      <c r="F11" s="35">
        <v>4.9</v>
      </c>
      <c r="G11" s="36"/>
      <c r="H11" s="39"/>
      <c r="I11" s="32" t="str">
        <f t="shared" si="1"/>
        <v/>
      </c>
    </row>
    <row r="12">
      <c r="A12" s="16">
        <v>4.0</v>
      </c>
      <c r="B12" s="33" t="s">
        <v>12</v>
      </c>
      <c r="C12" s="33" t="s">
        <v>13</v>
      </c>
      <c r="D12" s="35">
        <v>1.0</v>
      </c>
      <c r="E12" s="27" t="s">
        <v>14</v>
      </c>
      <c r="F12" s="35">
        <v>5.753</v>
      </c>
      <c r="G12" s="36">
        <v>18787.0</v>
      </c>
      <c r="H12" s="39">
        <v>1.67</v>
      </c>
      <c r="I12" s="32">
        <f t="shared" si="1"/>
        <v>0.01241681818</v>
      </c>
    </row>
    <row r="13">
      <c r="A13" s="16">
        <v>5.0</v>
      </c>
      <c r="B13" s="33" t="s">
        <v>12</v>
      </c>
      <c r="C13" s="33" t="s">
        <v>15</v>
      </c>
      <c r="D13" s="35">
        <v>1.0</v>
      </c>
      <c r="E13" s="27" t="s">
        <v>16</v>
      </c>
      <c r="F13" s="35">
        <v>5.876</v>
      </c>
      <c r="G13" s="36">
        <v>670976.0</v>
      </c>
      <c r="H13" s="39">
        <v>59.65</v>
      </c>
      <c r="I13" s="32">
        <f t="shared" si="1"/>
        <v>0.3088663636</v>
      </c>
    </row>
    <row r="14">
      <c r="A14" s="16">
        <v>6.0</v>
      </c>
      <c r="B14" s="33" t="s">
        <v>12</v>
      </c>
      <c r="C14" s="33" t="s">
        <v>17</v>
      </c>
      <c r="D14" s="35">
        <v>2.0</v>
      </c>
      <c r="E14" s="27" t="s">
        <v>18</v>
      </c>
      <c r="F14" s="35">
        <v>6.429</v>
      </c>
      <c r="G14" s="36">
        <v>58889.0</v>
      </c>
      <c r="H14" s="39">
        <v>5.23</v>
      </c>
      <c r="I14" s="32">
        <f t="shared" si="1"/>
        <v>0.030645</v>
      </c>
    </row>
    <row r="15">
      <c r="A15" s="16">
        <v>7.0</v>
      </c>
      <c r="B15" s="33" t="s">
        <v>12</v>
      </c>
      <c r="C15" s="33"/>
      <c r="D15" s="35">
        <v>2.0</v>
      </c>
      <c r="E15" s="27" t="s">
        <v>19</v>
      </c>
      <c r="F15" s="35">
        <v>6.657</v>
      </c>
      <c r="G15" s="36">
        <v>1331.0</v>
      </c>
      <c r="H15" s="39">
        <v>0.12</v>
      </c>
      <c r="I15" s="32">
        <f t="shared" si="1"/>
        <v>0.004482272727</v>
      </c>
    </row>
    <row r="16">
      <c r="A16" s="16">
        <v>8.0</v>
      </c>
      <c r="B16" s="33" t="s">
        <v>12</v>
      </c>
      <c r="C16" s="33"/>
      <c r="D16" s="35">
        <v>2.0</v>
      </c>
      <c r="E16" s="27" t="s">
        <v>22</v>
      </c>
      <c r="F16" s="35">
        <v>6.718</v>
      </c>
      <c r="G16" s="36">
        <v>24.0</v>
      </c>
      <c r="H16" s="39">
        <v>0.0</v>
      </c>
      <c r="I16" s="32">
        <f t="shared" si="1"/>
        <v>0.003888181818</v>
      </c>
    </row>
    <row r="17">
      <c r="A17" s="16">
        <v>9.0</v>
      </c>
      <c r="B17" s="33" t="s">
        <v>12</v>
      </c>
      <c r="C17" s="33"/>
      <c r="D17" s="35">
        <v>3.0</v>
      </c>
      <c r="E17" s="27" t="s">
        <v>20</v>
      </c>
      <c r="F17" s="35">
        <v>7.202</v>
      </c>
      <c r="G17" s="36">
        <v>8235.0</v>
      </c>
      <c r="H17" s="39">
        <v>0.73</v>
      </c>
      <c r="I17" s="32">
        <f t="shared" si="1"/>
        <v>0.007620454545</v>
      </c>
    </row>
    <row r="18">
      <c r="A18" s="16">
        <v>10.0</v>
      </c>
      <c r="B18" s="33" t="s">
        <v>12</v>
      </c>
      <c r="C18" s="33"/>
      <c r="D18" s="35">
        <v>3.0</v>
      </c>
      <c r="E18" s="27"/>
      <c r="F18" s="35">
        <v>7.316</v>
      </c>
      <c r="G18" s="36">
        <v>4316.0</v>
      </c>
      <c r="H18" s="39">
        <v>0.38</v>
      </c>
      <c r="I18" s="32">
        <f t="shared" si="1"/>
        <v>0.005839090909</v>
      </c>
    </row>
    <row r="19">
      <c r="A19" s="16">
        <v>1.0</v>
      </c>
      <c r="B19" s="33" t="s">
        <v>21</v>
      </c>
      <c r="C19" s="33" t="s">
        <v>80</v>
      </c>
      <c r="D19" s="35"/>
      <c r="E19" s="27"/>
      <c r="F19" s="35">
        <v>4.461</v>
      </c>
      <c r="G19" s="36">
        <v>2306.0</v>
      </c>
      <c r="H19" s="39">
        <v>0.21</v>
      </c>
      <c r="I19" s="32">
        <f t="shared" si="1"/>
        <v>0.004925454545</v>
      </c>
    </row>
    <row r="20">
      <c r="A20" s="16">
        <v>2.0</v>
      </c>
      <c r="B20" s="33" t="s">
        <v>21</v>
      </c>
      <c r="C20" s="33" t="s">
        <v>10</v>
      </c>
      <c r="D20" s="35">
        <v>0.0</v>
      </c>
      <c r="E20" s="27" t="s">
        <v>11</v>
      </c>
      <c r="F20" s="35">
        <v>4.732</v>
      </c>
      <c r="G20" s="36">
        <v>166506.0</v>
      </c>
      <c r="H20" s="39">
        <v>15.48</v>
      </c>
      <c r="I20" s="32">
        <f t="shared" si="1"/>
        <v>0.07956181818</v>
      </c>
    </row>
    <row r="21">
      <c r="A21" s="16">
        <v>3.0</v>
      </c>
      <c r="B21" s="33" t="s">
        <v>21</v>
      </c>
      <c r="C21" s="33" t="s">
        <v>82</v>
      </c>
      <c r="D21" s="35"/>
      <c r="E21" s="27"/>
      <c r="F21" s="35">
        <v>4.9</v>
      </c>
      <c r="G21" s="68"/>
      <c r="H21" s="69"/>
      <c r="I21" s="32" t="str">
        <f t="shared" si="1"/>
        <v/>
      </c>
    </row>
    <row r="22">
      <c r="A22" s="16">
        <v>4.0</v>
      </c>
      <c r="B22" s="33" t="s">
        <v>21</v>
      </c>
      <c r="C22" s="33" t="s">
        <v>13</v>
      </c>
      <c r="D22" s="35">
        <v>1.0</v>
      </c>
      <c r="E22" s="27" t="s">
        <v>14</v>
      </c>
      <c r="F22" s="35">
        <v>5.753</v>
      </c>
      <c r="G22" s="36">
        <v>13266.0</v>
      </c>
      <c r="H22" s="39">
        <v>1.23</v>
      </c>
      <c r="I22" s="32">
        <f t="shared" si="1"/>
        <v>0.009907272727</v>
      </c>
    </row>
    <row r="23">
      <c r="A23" s="16">
        <v>5.0</v>
      </c>
      <c r="B23" s="33" t="s">
        <v>21</v>
      </c>
      <c r="C23" s="33" t="s">
        <v>15</v>
      </c>
      <c r="D23" s="35">
        <v>1.0</v>
      </c>
      <c r="E23" s="27" t="s">
        <v>16</v>
      </c>
      <c r="F23" s="35">
        <v>5.878</v>
      </c>
      <c r="G23" s="36">
        <v>753693.0</v>
      </c>
      <c r="H23" s="39">
        <v>70.09</v>
      </c>
      <c r="I23" s="32">
        <f t="shared" si="1"/>
        <v>0.346465</v>
      </c>
    </row>
    <row r="24">
      <c r="A24" s="16">
        <v>6.0</v>
      </c>
      <c r="B24" s="33" t="s">
        <v>21</v>
      </c>
      <c r="C24" s="33" t="s">
        <v>17</v>
      </c>
      <c r="D24" s="35">
        <v>2.0</v>
      </c>
      <c r="E24" s="27" t="s">
        <v>18</v>
      </c>
      <c r="F24" s="35">
        <v>6.43</v>
      </c>
      <c r="G24" s="36">
        <v>114768.0</v>
      </c>
      <c r="H24" s="39">
        <v>10.67</v>
      </c>
      <c r="I24" s="32">
        <f t="shared" si="1"/>
        <v>0.05604454545</v>
      </c>
    </row>
    <row r="25">
      <c r="A25" s="16">
        <v>7.0</v>
      </c>
      <c r="B25" s="33" t="s">
        <v>21</v>
      </c>
      <c r="C25" s="33"/>
      <c r="D25" s="35">
        <v>2.0</v>
      </c>
      <c r="E25" s="27" t="s">
        <v>19</v>
      </c>
      <c r="F25" s="35">
        <v>6.656</v>
      </c>
      <c r="G25" s="36">
        <v>2525.0</v>
      </c>
      <c r="H25" s="39">
        <v>0.23</v>
      </c>
      <c r="I25" s="32">
        <f t="shared" si="1"/>
        <v>0.005025</v>
      </c>
    </row>
    <row r="26">
      <c r="A26" s="16">
        <v>8.0</v>
      </c>
      <c r="B26" s="33" t="s">
        <v>21</v>
      </c>
      <c r="C26" s="33"/>
      <c r="D26" s="35">
        <v>2.0</v>
      </c>
      <c r="E26" s="27" t="s">
        <v>22</v>
      </c>
      <c r="F26" s="35">
        <v>6.718</v>
      </c>
      <c r="G26" s="36">
        <v>194.0</v>
      </c>
      <c r="H26" s="39">
        <v>0.02</v>
      </c>
      <c r="I26" s="32">
        <f t="shared" si="1"/>
        <v>0.003965454545</v>
      </c>
    </row>
    <row r="27">
      <c r="A27" s="16">
        <v>9.0</v>
      </c>
      <c r="B27" s="33" t="s">
        <v>21</v>
      </c>
      <c r="C27" s="33"/>
      <c r="D27" s="35">
        <v>3.0</v>
      </c>
      <c r="E27" s="27" t="s">
        <v>20</v>
      </c>
      <c r="F27" s="35">
        <v>7.201</v>
      </c>
      <c r="G27" s="36">
        <v>17462.0</v>
      </c>
      <c r="H27" s="39">
        <v>1.62</v>
      </c>
      <c r="I27" s="32">
        <f t="shared" si="1"/>
        <v>0.01181454545</v>
      </c>
    </row>
    <row r="28">
      <c r="A28" s="16">
        <v>10.0</v>
      </c>
      <c r="B28" s="33" t="s">
        <v>21</v>
      </c>
      <c r="C28" s="33"/>
      <c r="D28" s="35">
        <v>3.0</v>
      </c>
      <c r="E28" s="27"/>
      <c r="F28" s="35">
        <v>7.311</v>
      </c>
      <c r="G28" s="36">
        <v>4663.0</v>
      </c>
      <c r="H28" s="39">
        <v>0.43</v>
      </c>
      <c r="I28" s="32">
        <f t="shared" si="1"/>
        <v>0.005996818182</v>
      </c>
    </row>
    <row r="29">
      <c r="A29" s="16">
        <v>1.0</v>
      </c>
      <c r="B29" s="33" t="s">
        <v>23</v>
      </c>
      <c r="C29" s="33" t="s">
        <v>80</v>
      </c>
      <c r="D29" s="35"/>
      <c r="E29" s="27"/>
      <c r="F29" s="70">
        <v>4.468</v>
      </c>
      <c r="G29" s="36">
        <v>1934.0</v>
      </c>
      <c r="H29" s="39">
        <v>0.17</v>
      </c>
      <c r="I29" s="32">
        <f t="shared" si="1"/>
        <v>0.004756363636</v>
      </c>
    </row>
    <row r="30">
      <c r="A30" s="16">
        <v>2.0</v>
      </c>
      <c r="B30" s="33" t="s">
        <v>23</v>
      </c>
      <c r="C30" s="33" t="s">
        <v>10</v>
      </c>
      <c r="D30" s="35">
        <v>0.0</v>
      </c>
      <c r="E30" s="27" t="s">
        <v>11</v>
      </c>
      <c r="F30" s="70">
        <v>4.74</v>
      </c>
      <c r="G30" s="36">
        <v>110485.0</v>
      </c>
      <c r="H30" s="39">
        <v>9.92</v>
      </c>
      <c r="I30" s="32">
        <f t="shared" si="1"/>
        <v>0.05409772727</v>
      </c>
    </row>
    <row r="31">
      <c r="A31" s="16">
        <v>3.0</v>
      </c>
      <c r="B31" s="33" t="s">
        <v>23</v>
      </c>
      <c r="C31" s="33" t="s">
        <v>82</v>
      </c>
      <c r="D31" s="35"/>
      <c r="E31" s="27"/>
      <c r="F31" s="35">
        <v>4.9</v>
      </c>
      <c r="G31" s="47"/>
      <c r="H31" s="47"/>
      <c r="I31" s="32" t="str">
        <f t="shared" si="1"/>
        <v/>
      </c>
    </row>
    <row r="32">
      <c r="A32" s="16">
        <v>4.0</v>
      </c>
      <c r="B32" s="33" t="s">
        <v>23</v>
      </c>
      <c r="C32" s="33" t="s">
        <v>13</v>
      </c>
      <c r="D32" s="35">
        <v>1.0</v>
      </c>
      <c r="E32" s="27" t="s">
        <v>14</v>
      </c>
      <c r="F32" s="35">
        <v>5.755</v>
      </c>
      <c r="G32" s="36">
        <v>9855.0</v>
      </c>
      <c r="H32" s="39">
        <v>0.88</v>
      </c>
      <c r="I32" s="32">
        <f t="shared" si="1"/>
        <v>0.008356818182</v>
      </c>
    </row>
    <row r="33">
      <c r="A33" s="16">
        <v>5.0</v>
      </c>
      <c r="B33" s="33" t="s">
        <v>23</v>
      </c>
      <c r="C33" s="33" t="s">
        <v>15</v>
      </c>
      <c r="D33" s="35">
        <v>1.0</v>
      </c>
      <c r="E33" s="27" t="s">
        <v>16</v>
      </c>
      <c r="F33" s="35">
        <v>5.881</v>
      </c>
      <c r="G33" s="36">
        <v>823758.0</v>
      </c>
      <c r="H33" s="39">
        <v>73.93</v>
      </c>
      <c r="I33" s="32">
        <f t="shared" si="1"/>
        <v>0.3783127273</v>
      </c>
    </row>
    <row r="34">
      <c r="A34" s="16">
        <v>6.0</v>
      </c>
      <c r="B34" s="33" t="s">
        <v>23</v>
      </c>
      <c r="C34" s="33" t="s">
        <v>17</v>
      </c>
      <c r="D34" s="35">
        <v>2.0</v>
      </c>
      <c r="E34" s="27" t="s">
        <v>18</v>
      </c>
      <c r="F34" s="35">
        <v>6.432</v>
      </c>
      <c r="G34" s="36">
        <v>140986.0</v>
      </c>
      <c r="H34" s="39">
        <v>12.65</v>
      </c>
      <c r="I34" s="32">
        <f t="shared" si="1"/>
        <v>0.06796181818</v>
      </c>
    </row>
    <row r="35">
      <c r="A35" s="16">
        <v>7.0</v>
      </c>
      <c r="B35" s="33" t="s">
        <v>23</v>
      </c>
      <c r="C35" s="33"/>
      <c r="D35" s="35">
        <v>2.0</v>
      </c>
      <c r="E35" s="27" t="s">
        <v>19</v>
      </c>
      <c r="F35" s="35">
        <v>6.657</v>
      </c>
      <c r="G35" s="36">
        <v>3360.0</v>
      </c>
      <c r="H35" s="39">
        <v>0.3</v>
      </c>
      <c r="I35" s="32">
        <f t="shared" si="1"/>
        <v>0.005404545455</v>
      </c>
    </row>
    <row r="36">
      <c r="A36" s="16">
        <v>8.0</v>
      </c>
      <c r="B36" s="33" t="s">
        <v>23</v>
      </c>
      <c r="C36" s="33"/>
      <c r="D36" s="35">
        <v>2.0</v>
      </c>
      <c r="E36" s="27" t="s">
        <v>22</v>
      </c>
      <c r="F36" s="35">
        <v>6.718</v>
      </c>
      <c r="G36" s="36">
        <v>222.0</v>
      </c>
      <c r="H36" s="39">
        <v>0.02</v>
      </c>
      <c r="I36" s="32">
        <f t="shared" si="1"/>
        <v>0.003978181818</v>
      </c>
    </row>
    <row r="37">
      <c r="A37" s="16">
        <v>9.0</v>
      </c>
      <c r="B37" s="33" t="s">
        <v>23</v>
      </c>
      <c r="C37" s="33"/>
      <c r="D37" s="35">
        <v>3.0</v>
      </c>
      <c r="E37" s="27"/>
      <c r="F37" s="35">
        <v>7.053</v>
      </c>
      <c r="G37" s="36">
        <v>7146.0</v>
      </c>
      <c r="H37" s="39">
        <v>0.64</v>
      </c>
      <c r="I37" s="32">
        <f t="shared" si="1"/>
        <v>0.007125454545</v>
      </c>
    </row>
    <row r="38">
      <c r="A38" s="16">
        <v>10.0</v>
      </c>
      <c r="B38" s="33" t="s">
        <v>23</v>
      </c>
      <c r="C38" s="33"/>
      <c r="D38" s="35">
        <v>3.0</v>
      </c>
      <c r="E38" s="27" t="s">
        <v>20</v>
      </c>
      <c r="F38" s="35">
        <v>7.204</v>
      </c>
      <c r="G38" s="36">
        <v>14296.0</v>
      </c>
      <c r="H38" s="39">
        <v>1.28</v>
      </c>
      <c r="I38" s="32">
        <f t="shared" si="1"/>
        <v>0.01037545455</v>
      </c>
    </row>
    <row r="39">
      <c r="A39" s="16">
        <v>11.0</v>
      </c>
      <c r="B39" s="33" t="s">
        <v>23</v>
      </c>
      <c r="C39" s="33"/>
      <c r="D39" s="35">
        <v>3.0</v>
      </c>
      <c r="E39" s="27"/>
      <c r="F39" s="35">
        <v>7.359</v>
      </c>
      <c r="G39" s="36">
        <v>2246.0</v>
      </c>
      <c r="H39" s="39">
        <v>0.2</v>
      </c>
      <c r="I39" s="32">
        <f t="shared" si="1"/>
        <v>0.004898181818</v>
      </c>
    </row>
    <row r="40">
      <c r="A40" s="16">
        <v>1.0</v>
      </c>
      <c r="B40" s="33" t="s">
        <v>24</v>
      </c>
      <c r="C40" s="33" t="s">
        <v>80</v>
      </c>
      <c r="D40" s="35"/>
      <c r="E40" s="27"/>
      <c r="F40" s="35">
        <v>4.467</v>
      </c>
      <c r="G40" s="36">
        <v>1941.0</v>
      </c>
      <c r="H40" s="39">
        <v>0.18</v>
      </c>
      <c r="I40" s="32">
        <f t="shared" si="1"/>
        <v>0.004759545455</v>
      </c>
    </row>
    <row r="41">
      <c r="A41" s="16">
        <v>2.0</v>
      </c>
      <c r="B41" s="33" t="s">
        <v>24</v>
      </c>
      <c r="C41" s="33" t="s">
        <v>10</v>
      </c>
      <c r="D41" s="35">
        <v>0.0</v>
      </c>
      <c r="E41" s="27" t="s">
        <v>11</v>
      </c>
      <c r="F41" s="35">
        <v>4.742</v>
      </c>
      <c r="G41" s="36">
        <v>78871.0</v>
      </c>
      <c r="H41" s="39">
        <v>7.19</v>
      </c>
      <c r="I41" s="32">
        <f t="shared" si="1"/>
        <v>0.03972772727</v>
      </c>
    </row>
    <row r="42">
      <c r="A42" s="16">
        <v>3.0</v>
      </c>
      <c r="B42" s="33" t="s">
        <v>24</v>
      </c>
      <c r="C42" s="33" t="s">
        <v>82</v>
      </c>
      <c r="D42" s="35"/>
      <c r="E42" s="27"/>
      <c r="F42" s="35">
        <v>4.9</v>
      </c>
      <c r="G42" s="47"/>
      <c r="H42" s="47"/>
      <c r="I42" s="32" t="str">
        <f t="shared" si="1"/>
        <v/>
      </c>
    </row>
    <row r="43">
      <c r="A43" s="16">
        <v>4.0</v>
      </c>
      <c r="B43" s="33" t="s">
        <v>24</v>
      </c>
      <c r="C43" s="33" t="s">
        <v>13</v>
      </c>
      <c r="D43" s="38">
        <v>1.0</v>
      </c>
      <c r="E43" s="27" t="s">
        <v>14</v>
      </c>
      <c r="F43" s="38">
        <v>5.755</v>
      </c>
      <c r="G43" s="36">
        <v>8490.0</v>
      </c>
      <c r="H43" s="39">
        <v>0.77</v>
      </c>
      <c r="I43" s="32">
        <f t="shared" si="1"/>
        <v>0.007736363636</v>
      </c>
    </row>
    <row r="44">
      <c r="A44" s="16">
        <v>5.0</v>
      </c>
      <c r="B44" s="33" t="s">
        <v>24</v>
      </c>
      <c r="C44" s="33" t="s">
        <v>15</v>
      </c>
      <c r="D44" s="38">
        <v>1.0</v>
      </c>
      <c r="E44" s="27" t="s">
        <v>16</v>
      </c>
      <c r="F44" s="38">
        <v>5.881</v>
      </c>
      <c r="G44" s="36">
        <v>816770.0</v>
      </c>
      <c r="H44" s="39">
        <v>74.49</v>
      </c>
      <c r="I44" s="32">
        <f t="shared" si="1"/>
        <v>0.3751363636</v>
      </c>
    </row>
    <row r="45">
      <c r="A45" s="16">
        <v>6.0</v>
      </c>
      <c r="B45" s="33" t="s">
        <v>24</v>
      </c>
      <c r="C45" s="33" t="s">
        <v>17</v>
      </c>
      <c r="D45" s="38">
        <v>2.0</v>
      </c>
      <c r="E45" s="27" t="s">
        <v>18</v>
      </c>
      <c r="F45" s="38">
        <v>6.434</v>
      </c>
      <c r="G45" s="36">
        <v>174331.0</v>
      </c>
      <c r="H45" s="39">
        <v>15.9</v>
      </c>
      <c r="I45" s="32">
        <f t="shared" si="1"/>
        <v>0.08311863636</v>
      </c>
    </row>
    <row r="46">
      <c r="A46" s="16">
        <v>7.0</v>
      </c>
      <c r="B46" s="33" t="s">
        <v>24</v>
      </c>
      <c r="C46" s="33"/>
      <c r="D46" s="38">
        <v>2.0</v>
      </c>
      <c r="E46" s="27" t="s">
        <v>19</v>
      </c>
      <c r="F46" s="38">
        <v>6.658</v>
      </c>
      <c r="G46" s="36">
        <v>4206.0</v>
      </c>
      <c r="H46" s="39">
        <v>0.38</v>
      </c>
      <c r="I46" s="32">
        <f t="shared" si="1"/>
        <v>0.005789090909</v>
      </c>
    </row>
    <row r="47">
      <c r="A47" s="16">
        <v>8.0</v>
      </c>
      <c r="B47" s="33" t="s">
        <v>24</v>
      </c>
      <c r="C47" s="33"/>
      <c r="D47" s="38">
        <v>2.0</v>
      </c>
      <c r="E47" s="27" t="s">
        <v>22</v>
      </c>
      <c r="F47" s="38">
        <v>6.718</v>
      </c>
      <c r="G47" s="36">
        <v>303.0</v>
      </c>
      <c r="H47" s="39">
        <v>0.03</v>
      </c>
      <c r="I47" s="32">
        <f t="shared" si="1"/>
        <v>0.004015</v>
      </c>
    </row>
    <row r="48">
      <c r="A48" s="16">
        <v>9.0</v>
      </c>
      <c r="B48" s="33" t="s">
        <v>24</v>
      </c>
      <c r="C48" s="33"/>
      <c r="D48" s="38"/>
      <c r="E48" s="27"/>
      <c r="F48" s="38">
        <v>7.051</v>
      </c>
      <c r="G48" s="36">
        <v>3531.0</v>
      </c>
      <c r="H48" s="39">
        <v>0.32</v>
      </c>
      <c r="I48" s="32">
        <f t="shared" si="1"/>
        <v>0.005482272727</v>
      </c>
    </row>
    <row r="49">
      <c r="A49" s="16">
        <v>10.0</v>
      </c>
      <c r="B49" s="33" t="s">
        <v>24</v>
      </c>
      <c r="C49" s="33"/>
      <c r="D49" s="38">
        <v>3.0</v>
      </c>
      <c r="E49" s="27" t="s">
        <v>20</v>
      </c>
      <c r="F49" s="38">
        <v>7.202</v>
      </c>
      <c r="G49" s="36">
        <v>5144.0</v>
      </c>
      <c r="H49" s="39">
        <v>0.47</v>
      </c>
      <c r="I49" s="32">
        <f t="shared" si="1"/>
        <v>0.006215454545</v>
      </c>
    </row>
    <row r="50">
      <c r="A50" s="16">
        <v>11.0</v>
      </c>
      <c r="B50" s="33" t="s">
        <v>24</v>
      </c>
      <c r="C50" s="33"/>
      <c r="D50" s="38"/>
      <c r="E50" s="27"/>
      <c r="F50" s="38">
        <v>7.307</v>
      </c>
      <c r="G50" s="36">
        <v>2898.0</v>
      </c>
      <c r="H50" s="39">
        <v>0.26</v>
      </c>
      <c r="I50" s="32">
        <f t="shared" si="1"/>
        <v>0.005194545455</v>
      </c>
    </row>
    <row r="51">
      <c r="A51" s="16">
        <v>1.0</v>
      </c>
      <c r="B51" s="33" t="s">
        <v>25</v>
      </c>
      <c r="C51" s="33" t="s">
        <v>80</v>
      </c>
      <c r="D51" s="35"/>
      <c r="E51" s="27"/>
      <c r="F51" s="35">
        <v>4.468</v>
      </c>
      <c r="G51" s="36">
        <v>1973.0</v>
      </c>
      <c r="H51" s="39">
        <v>0.18</v>
      </c>
      <c r="I51" s="32">
        <f t="shared" si="1"/>
        <v>0.004774090909</v>
      </c>
    </row>
    <row r="52">
      <c r="A52" s="16">
        <v>2.0</v>
      </c>
      <c r="B52" s="33" t="s">
        <v>25</v>
      </c>
      <c r="C52" s="33" t="s">
        <v>10</v>
      </c>
      <c r="D52" s="35">
        <v>0.0</v>
      </c>
      <c r="E52" s="27" t="s">
        <v>11</v>
      </c>
      <c r="F52" s="35">
        <v>4.742</v>
      </c>
      <c r="G52" s="36">
        <v>64493.0</v>
      </c>
      <c r="H52" s="39">
        <v>5.82</v>
      </c>
      <c r="I52" s="32">
        <f t="shared" si="1"/>
        <v>0.03319227273</v>
      </c>
    </row>
    <row r="53">
      <c r="A53" s="16">
        <v>3.0</v>
      </c>
      <c r="B53" s="33" t="s">
        <v>25</v>
      </c>
      <c r="C53" s="33" t="s">
        <v>82</v>
      </c>
      <c r="D53" s="35"/>
      <c r="E53" s="27"/>
      <c r="F53" s="35">
        <v>4.9</v>
      </c>
      <c r="G53" s="36"/>
      <c r="H53" s="39"/>
      <c r="I53" s="32" t="str">
        <f t="shared" si="1"/>
        <v/>
      </c>
    </row>
    <row r="54">
      <c r="A54" s="16">
        <v>4.0</v>
      </c>
      <c r="B54" s="33" t="s">
        <v>25</v>
      </c>
      <c r="C54" s="33" t="s">
        <v>13</v>
      </c>
      <c r="D54" s="35">
        <v>1.0</v>
      </c>
      <c r="E54" s="27" t="s">
        <v>14</v>
      </c>
      <c r="F54" s="35">
        <v>5.755</v>
      </c>
      <c r="G54" s="36">
        <v>7366.0</v>
      </c>
      <c r="H54" s="39">
        <v>0.66</v>
      </c>
      <c r="I54" s="32">
        <f t="shared" si="1"/>
        <v>0.007225454545</v>
      </c>
    </row>
    <row r="55">
      <c r="A55" s="16">
        <v>5.0</v>
      </c>
      <c r="B55" s="33" t="s">
        <v>25</v>
      </c>
      <c r="C55" s="33" t="s">
        <v>15</v>
      </c>
      <c r="D55" s="35">
        <v>1.0</v>
      </c>
      <c r="E55" s="27" t="s">
        <v>16</v>
      </c>
      <c r="F55" s="35">
        <v>5.882</v>
      </c>
      <c r="G55" s="36">
        <v>823915.0</v>
      </c>
      <c r="H55" s="39">
        <v>74.34</v>
      </c>
      <c r="I55" s="32">
        <f t="shared" si="1"/>
        <v>0.3783840909</v>
      </c>
    </row>
    <row r="56">
      <c r="A56" s="16">
        <v>6.0</v>
      </c>
      <c r="B56" s="33" t="s">
        <v>25</v>
      </c>
      <c r="C56" s="33" t="s">
        <v>17</v>
      </c>
      <c r="D56" s="35">
        <v>2.0</v>
      </c>
      <c r="E56" s="27" t="s">
        <v>18</v>
      </c>
      <c r="F56" s="35">
        <v>6.435</v>
      </c>
      <c r="G56" s="36">
        <v>182752.0</v>
      </c>
      <c r="H56" s="39">
        <v>16.49</v>
      </c>
      <c r="I56" s="32">
        <f t="shared" si="1"/>
        <v>0.08694636364</v>
      </c>
    </row>
    <row r="57">
      <c r="A57" s="16">
        <v>7.0</v>
      </c>
      <c r="B57" s="33" t="s">
        <v>25</v>
      </c>
      <c r="C57" s="33"/>
      <c r="D57" s="35">
        <v>2.0</v>
      </c>
      <c r="E57" s="27" t="s">
        <v>19</v>
      </c>
      <c r="F57" s="35">
        <v>6.659</v>
      </c>
      <c r="G57" s="36">
        <v>4350.0</v>
      </c>
      <c r="H57" s="39">
        <v>0.39</v>
      </c>
      <c r="I57" s="32">
        <f t="shared" si="1"/>
        <v>0.005854545455</v>
      </c>
    </row>
    <row r="58">
      <c r="A58" s="16">
        <v>8.0</v>
      </c>
      <c r="B58" s="33" t="s">
        <v>25</v>
      </c>
      <c r="C58" s="33"/>
      <c r="D58" s="35">
        <v>2.0</v>
      </c>
      <c r="E58" s="27" t="s">
        <v>22</v>
      </c>
      <c r="F58" s="35">
        <v>6.718</v>
      </c>
      <c r="G58" s="36">
        <v>305.0</v>
      </c>
      <c r="H58" s="39">
        <v>0.03</v>
      </c>
      <c r="I58" s="32">
        <f t="shared" si="1"/>
        <v>0.004015909091</v>
      </c>
    </row>
    <row r="59">
      <c r="A59" s="16">
        <v>9.0</v>
      </c>
      <c r="B59" s="33" t="s">
        <v>25</v>
      </c>
      <c r="C59" s="33"/>
      <c r="D59" s="35"/>
      <c r="E59" s="27"/>
      <c r="F59" s="35">
        <v>7.054</v>
      </c>
      <c r="G59" s="36">
        <v>8982.0</v>
      </c>
      <c r="H59" s="39">
        <v>0.81</v>
      </c>
      <c r="I59" s="32">
        <f t="shared" si="1"/>
        <v>0.00796</v>
      </c>
    </row>
    <row r="60">
      <c r="A60" s="16">
        <v>10.0</v>
      </c>
      <c r="B60" s="33" t="s">
        <v>25</v>
      </c>
      <c r="C60" s="33"/>
      <c r="D60" s="35">
        <v>3.0</v>
      </c>
      <c r="E60" s="27" t="s">
        <v>20</v>
      </c>
      <c r="F60" s="35">
        <v>7.204</v>
      </c>
      <c r="G60" s="36">
        <v>9447.0</v>
      </c>
      <c r="H60" s="39">
        <v>0.85</v>
      </c>
      <c r="I60" s="32">
        <f t="shared" si="1"/>
        <v>0.008171363636</v>
      </c>
    </row>
    <row r="61">
      <c r="A61" s="16">
        <v>11.0</v>
      </c>
      <c r="B61" s="33" t="s">
        <v>25</v>
      </c>
      <c r="C61" s="33"/>
      <c r="D61" s="35"/>
      <c r="E61" s="27"/>
      <c r="F61" s="35">
        <v>7.31</v>
      </c>
      <c r="G61" s="36">
        <v>4762.0</v>
      </c>
      <c r="H61" s="39">
        <v>0.43</v>
      </c>
      <c r="I61" s="32">
        <f t="shared" si="1"/>
        <v>0.006041818182</v>
      </c>
    </row>
    <row r="62">
      <c r="A62" s="16">
        <v>1.0</v>
      </c>
      <c r="B62" s="33" t="s">
        <v>26</v>
      </c>
      <c r="C62" s="33" t="s">
        <v>80</v>
      </c>
      <c r="D62" s="71"/>
      <c r="E62" s="27"/>
      <c r="F62" s="70">
        <v>4.464</v>
      </c>
      <c r="G62" s="36">
        <v>2051.0</v>
      </c>
      <c r="H62" s="39">
        <v>0.19</v>
      </c>
      <c r="I62" s="32">
        <f t="shared" si="1"/>
        <v>0.004809545455</v>
      </c>
    </row>
    <row r="63">
      <c r="A63" s="16">
        <v>2.0</v>
      </c>
      <c r="B63" s="33" t="s">
        <v>26</v>
      </c>
      <c r="C63" s="33" t="s">
        <v>10</v>
      </c>
      <c r="D63" s="35">
        <v>0.0</v>
      </c>
      <c r="E63" s="27" t="s">
        <v>11</v>
      </c>
      <c r="F63" s="35">
        <v>4.744</v>
      </c>
      <c r="G63" s="36">
        <v>47885.0</v>
      </c>
      <c r="H63" s="39">
        <v>4.55</v>
      </c>
      <c r="I63" s="32">
        <f t="shared" si="1"/>
        <v>0.02564318182</v>
      </c>
    </row>
    <row r="64">
      <c r="A64" s="16">
        <v>3.0</v>
      </c>
      <c r="B64" s="33" t="s">
        <v>26</v>
      </c>
      <c r="C64" s="33" t="s">
        <v>82</v>
      </c>
      <c r="D64" s="35"/>
      <c r="E64" s="27"/>
      <c r="F64" s="35">
        <v>4.9</v>
      </c>
      <c r="G64" s="36"/>
      <c r="H64" s="39"/>
      <c r="I64" s="32" t="str">
        <f t="shared" si="1"/>
        <v/>
      </c>
    </row>
    <row r="65">
      <c r="A65" s="16">
        <v>4.0</v>
      </c>
      <c r="B65" s="33" t="s">
        <v>26</v>
      </c>
      <c r="C65" s="33" t="s">
        <v>13</v>
      </c>
      <c r="D65" s="35">
        <v>1.0</v>
      </c>
      <c r="E65" s="27" t="s">
        <v>14</v>
      </c>
      <c r="F65" s="35">
        <v>5.756</v>
      </c>
      <c r="G65" s="36">
        <v>6129.0</v>
      </c>
      <c r="H65" s="39">
        <v>0.58</v>
      </c>
      <c r="I65" s="32">
        <f t="shared" si="1"/>
        <v>0.006663181818</v>
      </c>
    </row>
    <row r="66">
      <c r="A66" s="16">
        <v>5.0</v>
      </c>
      <c r="B66" s="33" t="s">
        <v>26</v>
      </c>
      <c r="C66" s="33" t="s">
        <v>15</v>
      </c>
      <c r="D66" s="35">
        <v>1.0</v>
      </c>
      <c r="E66" s="27" t="s">
        <v>16</v>
      </c>
      <c r="F66" s="35">
        <v>5.882</v>
      </c>
      <c r="G66" s="36">
        <v>786731.0</v>
      </c>
      <c r="H66" s="39">
        <v>74.78</v>
      </c>
      <c r="I66" s="32">
        <f t="shared" si="1"/>
        <v>0.3614822727</v>
      </c>
    </row>
    <row r="67">
      <c r="A67" s="16">
        <v>6.0</v>
      </c>
      <c r="B67" s="33" t="s">
        <v>26</v>
      </c>
      <c r="C67" s="33" t="s">
        <v>17</v>
      </c>
      <c r="D67" s="35">
        <v>2.0</v>
      </c>
      <c r="E67" s="27" t="s">
        <v>18</v>
      </c>
      <c r="F67" s="35">
        <v>6.437</v>
      </c>
      <c r="G67" s="36">
        <v>190988.0</v>
      </c>
      <c r="H67" s="39">
        <v>18.15</v>
      </c>
      <c r="I67" s="32">
        <f t="shared" si="1"/>
        <v>0.09069</v>
      </c>
    </row>
    <row r="68">
      <c r="A68" s="16">
        <v>7.0</v>
      </c>
      <c r="B68" s="33" t="s">
        <v>26</v>
      </c>
      <c r="C68" s="33"/>
      <c r="D68" s="35">
        <v>2.0</v>
      </c>
      <c r="E68" s="27" t="s">
        <v>19</v>
      </c>
      <c r="F68" s="35">
        <v>6.658</v>
      </c>
      <c r="G68" s="36">
        <v>4346.0</v>
      </c>
      <c r="H68" s="39">
        <v>0.41</v>
      </c>
      <c r="I68" s="32">
        <f t="shared" si="1"/>
        <v>0.005852727273</v>
      </c>
    </row>
    <row r="69">
      <c r="A69" s="16">
        <v>8.0</v>
      </c>
      <c r="B69" s="33" t="s">
        <v>26</v>
      </c>
      <c r="C69" s="33"/>
      <c r="D69" s="35">
        <v>2.0</v>
      </c>
      <c r="E69" s="27" t="s">
        <v>22</v>
      </c>
      <c r="F69" s="35">
        <v>6.718</v>
      </c>
      <c r="G69" s="36">
        <v>332.0</v>
      </c>
      <c r="H69" s="39">
        <v>0.03</v>
      </c>
      <c r="I69" s="32">
        <f t="shared" si="1"/>
        <v>0.004028181818</v>
      </c>
    </row>
    <row r="70">
      <c r="A70" s="16">
        <v>9.0</v>
      </c>
      <c r="B70" s="33" t="s">
        <v>26</v>
      </c>
      <c r="C70" s="33"/>
      <c r="D70" s="35"/>
      <c r="E70" s="27"/>
      <c r="F70" s="35">
        <v>7.052</v>
      </c>
      <c r="G70" s="36">
        <v>5219.0</v>
      </c>
      <c r="H70" s="39">
        <v>0.5</v>
      </c>
      <c r="I70" s="32">
        <f t="shared" si="1"/>
        <v>0.006249545455</v>
      </c>
    </row>
    <row r="71">
      <c r="A71" s="16">
        <v>10.0</v>
      </c>
      <c r="B71" s="33" t="s">
        <v>26</v>
      </c>
      <c r="C71" s="33"/>
      <c r="D71" s="35">
        <v>3.0</v>
      </c>
      <c r="E71" s="27" t="s">
        <v>20</v>
      </c>
      <c r="F71" s="35">
        <v>7.204</v>
      </c>
      <c r="G71" s="36">
        <v>5232.0</v>
      </c>
      <c r="H71" s="39">
        <v>0.5</v>
      </c>
      <c r="I71" s="32">
        <f t="shared" si="1"/>
        <v>0.006255454545</v>
      </c>
    </row>
    <row r="72">
      <c r="A72" s="16">
        <v>11.0</v>
      </c>
      <c r="B72" s="33" t="s">
        <v>26</v>
      </c>
      <c r="C72" s="33"/>
      <c r="D72" s="35"/>
      <c r="E72" s="27"/>
      <c r="F72" s="35">
        <v>7.308</v>
      </c>
      <c r="G72" s="36">
        <v>3163.0</v>
      </c>
      <c r="H72" s="39">
        <v>0.3</v>
      </c>
      <c r="I72" s="32">
        <f t="shared" si="1"/>
        <v>0.005315</v>
      </c>
    </row>
    <row r="73">
      <c r="A73" s="16">
        <v>1.0</v>
      </c>
      <c r="B73" s="33" t="s">
        <v>27</v>
      </c>
      <c r="C73" s="33" t="s">
        <v>80</v>
      </c>
      <c r="D73" s="35"/>
      <c r="E73" s="27"/>
      <c r="F73" s="35">
        <v>4.463</v>
      </c>
      <c r="G73" s="36">
        <v>1990.0</v>
      </c>
      <c r="H73" s="39">
        <v>0.19</v>
      </c>
      <c r="I73" s="32">
        <f t="shared" si="1"/>
        <v>0.004781818182</v>
      </c>
    </row>
    <row r="74">
      <c r="A74" s="16">
        <v>2.0</v>
      </c>
      <c r="B74" s="33" t="s">
        <v>27</v>
      </c>
      <c r="C74" s="33" t="s">
        <v>10</v>
      </c>
      <c r="D74" s="35">
        <v>0.0</v>
      </c>
      <c r="E74" s="27" t="s">
        <v>11</v>
      </c>
      <c r="F74" s="35">
        <v>4.744</v>
      </c>
      <c r="G74" s="36">
        <v>39699.0</v>
      </c>
      <c r="H74" s="39">
        <v>3.71</v>
      </c>
      <c r="I74" s="32">
        <f t="shared" si="1"/>
        <v>0.02192227273</v>
      </c>
    </row>
    <row r="75">
      <c r="A75" s="16">
        <v>3.0</v>
      </c>
      <c r="B75" s="33" t="s">
        <v>27</v>
      </c>
      <c r="C75" s="33" t="s">
        <v>82</v>
      </c>
      <c r="D75" s="35"/>
      <c r="E75" s="27"/>
      <c r="F75" s="35">
        <v>4.9</v>
      </c>
      <c r="G75" s="36"/>
      <c r="H75" s="39"/>
      <c r="I75" s="32" t="str">
        <f t="shared" si="1"/>
        <v/>
      </c>
    </row>
    <row r="76">
      <c r="A76" s="16">
        <v>4.0</v>
      </c>
      <c r="B76" s="33" t="s">
        <v>27</v>
      </c>
      <c r="C76" s="33" t="s">
        <v>13</v>
      </c>
      <c r="D76" s="35">
        <v>1.0</v>
      </c>
      <c r="E76" s="27" t="s">
        <v>14</v>
      </c>
      <c r="F76" s="35">
        <v>5.755</v>
      </c>
      <c r="G76" s="36">
        <v>5509.0</v>
      </c>
      <c r="H76" s="39">
        <v>0.51</v>
      </c>
      <c r="I76" s="32">
        <f t="shared" si="1"/>
        <v>0.006381363636</v>
      </c>
    </row>
    <row r="77">
      <c r="A77" s="16">
        <v>5.0</v>
      </c>
      <c r="B77" s="33" t="s">
        <v>27</v>
      </c>
      <c r="C77" s="33" t="s">
        <v>15</v>
      </c>
      <c r="D77" s="35">
        <v>1.0</v>
      </c>
      <c r="E77" s="27" t="s">
        <v>16</v>
      </c>
      <c r="F77" s="35">
        <v>5.881</v>
      </c>
      <c r="G77" s="36">
        <v>791458.0</v>
      </c>
      <c r="H77" s="39">
        <v>73.89</v>
      </c>
      <c r="I77" s="32">
        <f t="shared" si="1"/>
        <v>0.3636309091</v>
      </c>
    </row>
    <row r="78">
      <c r="A78" s="16">
        <v>6.0</v>
      </c>
      <c r="B78" s="33" t="s">
        <v>27</v>
      </c>
      <c r="C78" s="33" t="s">
        <v>17</v>
      </c>
      <c r="D78" s="35">
        <v>2.0</v>
      </c>
      <c r="E78" s="27" t="s">
        <v>18</v>
      </c>
      <c r="F78" s="35">
        <v>6.437</v>
      </c>
      <c r="G78" s="40">
        <v>211477.0</v>
      </c>
      <c r="H78" s="61">
        <v>19.74</v>
      </c>
      <c r="I78" s="32">
        <f t="shared" si="1"/>
        <v>0.1000031818</v>
      </c>
    </row>
    <row r="79">
      <c r="A79" s="16">
        <v>7.0</v>
      </c>
      <c r="B79" s="33" t="s">
        <v>27</v>
      </c>
      <c r="C79" s="33"/>
      <c r="D79" s="35">
        <v>2.0</v>
      </c>
      <c r="E79" s="27" t="s">
        <v>19</v>
      </c>
      <c r="F79" s="35">
        <v>6.658</v>
      </c>
      <c r="G79" s="40">
        <v>4784.0</v>
      </c>
      <c r="H79" s="61">
        <v>0.45</v>
      </c>
      <c r="I79" s="32">
        <f t="shared" si="1"/>
        <v>0.006051818182</v>
      </c>
    </row>
    <row r="80">
      <c r="A80" s="16">
        <v>8.0</v>
      </c>
      <c r="B80" s="33" t="s">
        <v>27</v>
      </c>
      <c r="C80" s="33"/>
      <c r="D80" s="35">
        <v>2.0</v>
      </c>
      <c r="E80" s="27" t="s">
        <v>22</v>
      </c>
      <c r="F80" s="35">
        <v>6.718</v>
      </c>
      <c r="G80" s="36">
        <v>394.0</v>
      </c>
      <c r="H80" s="39">
        <v>0.04</v>
      </c>
      <c r="I80" s="32">
        <f t="shared" si="1"/>
        <v>0.004056363636</v>
      </c>
    </row>
    <row r="81">
      <c r="A81" s="16">
        <v>9.0</v>
      </c>
      <c r="B81" s="33" t="s">
        <v>27</v>
      </c>
      <c r="C81" s="33"/>
      <c r="D81" s="35"/>
      <c r="E81" s="27"/>
      <c r="F81" s="35">
        <v>7.052</v>
      </c>
      <c r="G81" s="36">
        <v>6746.0</v>
      </c>
      <c r="H81" s="39">
        <v>0.63</v>
      </c>
      <c r="I81" s="32">
        <f t="shared" si="1"/>
        <v>0.006943636364</v>
      </c>
    </row>
    <row r="82">
      <c r="A82" s="16">
        <v>10.0</v>
      </c>
      <c r="B82" s="33" t="s">
        <v>27</v>
      </c>
      <c r="C82" s="33"/>
      <c r="D82" s="35">
        <v>3.0</v>
      </c>
      <c r="E82" s="27" t="s">
        <v>20</v>
      </c>
      <c r="F82" s="35">
        <v>7.205</v>
      </c>
      <c r="G82" s="36">
        <v>6064.0</v>
      </c>
      <c r="H82" s="39">
        <v>0.57</v>
      </c>
      <c r="I82" s="32">
        <f t="shared" si="1"/>
        <v>0.006633636364</v>
      </c>
    </row>
    <row r="83">
      <c r="A83" s="16">
        <v>11.0</v>
      </c>
      <c r="B83" s="33" t="s">
        <v>27</v>
      </c>
      <c r="C83" s="33"/>
      <c r="D83" s="35"/>
      <c r="E83" s="27"/>
      <c r="F83" s="35">
        <v>7.306</v>
      </c>
      <c r="G83" s="36">
        <v>3059.0</v>
      </c>
      <c r="H83" s="39">
        <v>0.29</v>
      </c>
      <c r="I83" s="32">
        <f t="shared" si="1"/>
        <v>0.005267727273</v>
      </c>
    </row>
    <row r="84">
      <c r="A84" s="16">
        <v>1.0</v>
      </c>
      <c r="B84" s="33" t="s">
        <v>28</v>
      </c>
      <c r="C84" s="33" t="s">
        <v>80</v>
      </c>
      <c r="D84" s="35"/>
      <c r="E84" s="27"/>
      <c r="F84" s="35">
        <v>4.467</v>
      </c>
      <c r="G84" s="36">
        <v>2092.0</v>
      </c>
      <c r="H84" s="39">
        <v>0.21</v>
      </c>
      <c r="I84" s="32">
        <f t="shared" si="1"/>
        <v>0.004828181818</v>
      </c>
    </row>
    <row r="85">
      <c r="A85" s="16">
        <v>2.0</v>
      </c>
      <c r="B85" s="33" t="s">
        <v>28</v>
      </c>
      <c r="C85" s="33" t="s">
        <v>10</v>
      </c>
      <c r="D85" s="35">
        <v>0.0</v>
      </c>
      <c r="E85" s="27" t="s">
        <v>11</v>
      </c>
      <c r="F85" s="35">
        <v>4.75</v>
      </c>
      <c r="G85" s="40">
        <v>32872.0</v>
      </c>
      <c r="H85" s="61">
        <v>3.28</v>
      </c>
      <c r="I85" s="32">
        <f t="shared" si="1"/>
        <v>0.01881909091</v>
      </c>
    </row>
    <row r="86">
      <c r="A86" s="16">
        <v>3.0</v>
      </c>
      <c r="B86" s="33" t="s">
        <v>28</v>
      </c>
      <c r="C86" s="33" t="s">
        <v>82</v>
      </c>
      <c r="D86" s="35"/>
      <c r="E86" s="27"/>
      <c r="F86" s="35">
        <v>4.9</v>
      </c>
      <c r="G86" s="36"/>
      <c r="H86" s="39"/>
      <c r="I86" s="32" t="str">
        <f t="shared" si="1"/>
        <v/>
      </c>
    </row>
    <row r="87">
      <c r="A87" s="16">
        <v>4.0</v>
      </c>
      <c r="B87" s="33" t="s">
        <v>28</v>
      </c>
      <c r="C87" s="33" t="s">
        <v>13</v>
      </c>
      <c r="D87" s="35">
        <v>1.0</v>
      </c>
      <c r="E87" s="27" t="s">
        <v>14</v>
      </c>
      <c r="F87" s="35">
        <v>5.756</v>
      </c>
      <c r="G87" s="36">
        <v>4697.0</v>
      </c>
      <c r="H87" s="39">
        <v>0.47</v>
      </c>
      <c r="I87" s="32">
        <f t="shared" si="1"/>
        <v>0.006012272727</v>
      </c>
    </row>
    <row r="88">
      <c r="A88" s="16">
        <v>5.0</v>
      </c>
      <c r="B88" s="33" t="s">
        <v>28</v>
      </c>
      <c r="C88" s="33" t="s">
        <v>15</v>
      </c>
      <c r="D88" s="35">
        <v>1.0</v>
      </c>
      <c r="E88" s="27" t="s">
        <v>16</v>
      </c>
      <c r="F88" s="35">
        <v>5.881</v>
      </c>
      <c r="G88" s="36">
        <v>739970.0</v>
      </c>
      <c r="H88" s="39">
        <v>73.91</v>
      </c>
      <c r="I88" s="32">
        <f t="shared" si="1"/>
        <v>0.3402272727</v>
      </c>
    </row>
    <row r="89">
      <c r="A89" s="16">
        <v>6.0</v>
      </c>
      <c r="B89" s="33" t="s">
        <v>28</v>
      </c>
      <c r="C89" s="33" t="s">
        <v>17</v>
      </c>
      <c r="D89" s="35">
        <v>2.0</v>
      </c>
      <c r="E89" s="27" t="s">
        <v>18</v>
      </c>
      <c r="F89" s="35">
        <v>6.438</v>
      </c>
      <c r="G89" s="36">
        <v>200497.0</v>
      </c>
      <c r="H89" s="39">
        <v>20.03</v>
      </c>
      <c r="I89" s="32">
        <f t="shared" si="1"/>
        <v>0.09501227273</v>
      </c>
    </row>
    <row r="90">
      <c r="A90" s="16">
        <v>7.0</v>
      </c>
      <c r="B90" s="33" t="s">
        <v>28</v>
      </c>
      <c r="C90" s="33"/>
      <c r="D90" s="35">
        <v>2.0</v>
      </c>
      <c r="E90" s="27" t="s">
        <v>19</v>
      </c>
      <c r="F90" s="35">
        <v>6.658</v>
      </c>
      <c r="G90" s="36">
        <v>4496.0</v>
      </c>
      <c r="H90" s="39">
        <v>0.45</v>
      </c>
      <c r="I90" s="32">
        <f t="shared" si="1"/>
        <v>0.005920909091</v>
      </c>
    </row>
    <row r="91">
      <c r="A91" s="16">
        <v>8.0</v>
      </c>
      <c r="B91" s="33" t="s">
        <v>28</v>
      </c>
      <c r="C91" s="33"/>
      <c r="D91" s="35">
        <v>2.0</v>
      </c>
      <c r="E91" s="27" t="s">
        <v>22</v>
      </c>
      <c r="F91" s="35">
        <v>6.718</v>
      </c>
      <c r="G91" s="36">
        <v>391.0</v>
      </c>
      <c r="H91" s="39">
        <v>0.04</v>
      </c>
      <c r="I91" s="32">
        <f t="shared" si="1"/>
        <v>0.004055</v>
      </c>
    </row>
    <row r="92">
      <c r="A92" s="16">
        <v>9.0</v>
      </c>
      <c r="B92" s="33" t="s">
        <v>28</v>
      </c>
      <c r="C92" s="33"/>
      <c r="D92" s="35"/>
      <c r="E92" s="27"/>
      <c r="F92" s="35">
        <v>7.053</v>
      </c>
      <c r="G92" s="36">
        <v>7067.0</v>
      </c>
      <c r="H92" s="39">
        <v>0.71</v>
      </c>
      <c r="I92" s="32">
        <f t="shared" si="1"/>
        <v>0.007089545455</v>
      </c>
    </row>
    <row r="93">
      <c r="A93" s="16">
        <v>10.0</v>
      </c>
      <c r="B93" s="33" t="s">
        <v>28</v>
      </c>
      <c r="C93" s="33"/>
      <c r="D93" s="35">
        <v>3.0</v>
      </c>
      <c r="E93" s="27" t="s">
        <v>20</v>
      </c>
      <c r="F93" s="35">
        <v>7.204</v>
      </c>
      <c r="G93" s="36">
        <v>5981.0</v>
      </c>
      <c r="H93" s="39">
        <v>0.6</v>
      </c>
      <c r="I93" s="32">
        <f t="shared" si="1"/>
        <v>0.006595909091</v>
      </c>
    </row>
    <row r="94">
      <c r="A94" s="16">
        <v>11.0</v>
      </c>
      <c r="B94" s="33" t="s">
        <v>28</v>
      </c>
      <c r="C94" s="33"/>
      <c r="D94" s="35"/>
      <c r="E94" s="27"/>
      <c r="F94" s="35">
        <v>7.305</v>
      </c>
      <c r="G94" s="36">
        <v>3110.0</v>
      </c>
      <c r="H94" s="39">
        <v>0.31</v>
      </c>
      <c r="I94" s="32">
        <f t="shared" si="1"/>
        <v>0.005290909091</v>
      </c>
    </row>
    <row r="95">
      <c r="A95" s="16">
        <v>1.0</v>
      </c>
      <c r="B95" s="33" t="s">
        <v>29</v>
      </c>
      <c r="C95" s="33" t="s">
        <v>80</v>
      </c>
      <c r="D95" s="35"/>
      <c r="E95" s="27"/>
      <c r="F95" s="35">
        <v>4.473</v>
      </c>
      <c r="G95" s="36">
        <v>1968.0</v>
      </c>
      <c r="H95" s="39">
        <v>0.18</v>
      </c>
      <c r="I95" s="32">
        <f t="shared" si="1"/>
        <v>0.004771818182</v>
      </c>
    </row>
    <row r="96">
      <c r="A96" s="16">
        <v>2.0</v>
      </c>
      <c r="B96" s="33" t="s">
        <v>29</v>
      </c>
      <c r="C96" s="41" t="s">
        <v>10</v>
      </c>
      <c r="D96" s="35">
        <v>0.0</v>
      </c>
      <c r="E96" s="27" t="s">
        <v>11</v>
      </c>
      <c r="F96" s="35">
        <v>4.753</v>
      </c>
      <c r="G96" s="40">
        <v>31576.0</v>
      </c>
      <c r="H96" s="61">
        <v>2.9</v>
      </c>
      <c r="I96" s="32">
        <f t="shared" si="1"/>
        <v>0.01823</v>
      </c>
    </row>
    <row r="97">
      <c r="A97" s="16">
        <v>3.0</v>
      </c>
      <c r="B97" s="33" t="s">
        <v>29</v>
      </c>
      <c r="C97" s="41" t="s">
        <v>82</v>
      </c>
      <c r="D97" s="35"/>
      <c r="E97" s="27"/>
      <c r="F97" s="35">
        <v>4.9</v>
      </c>
      <c r="G97" s="40"/>
      <c r="H97" s="61"/>
      <c r="I97" s="32" t="str">
        <f t="shared" si="1"/>
        <v/>
      </c>
    </row>
    <row r="98">
      <c r="A98" s="16">
        <v>4.0</v>
      </c>
      <c r="B98" s="33" t="s">
        <v>29</v>
      </c>
      <c r="C98" s="33" t="s">
        <v>13</v>
      </c>
      <c r="D98" s="35"/>
      <c r="E98" s="27" t="s">
        <v>14</v>
      </c>
      <c r="F98" s="35">
        <v>5.756</v>
      </c>
      <c r="G98" s="40">
        <v>4771.0</v>
      </c>
      <c r="H98" s="61">
        <v>0.44</v>
      </c>
      <c r="I98" s="32">
        <f t="shared" si="1"/>
        <v>0.006045909091</v>
      </c>
    </row>
    <row r="99">
      <c r="A99" s="16">
        <v>5.0</v>
      </c>
      <c r="B99" s="33" t="s">
        <v>29</v>
      </c>
      <c r="C99" s="41" t="s">
        <v>15</v>
      </c>
      <c r="D99" s="35"/>
      <c r="E99" s="27" t="s">
        <v>16</v>
      </c>
      <c r="F99" s="35">
        <v>5.882</v>
      </c>
      <c r="G99" s="36">
        <v>795354.0</v>
      </c>
      <c r="H99" s="39">
        <v>72.96</v>
      </c>
      <c r="I99" s="32">
        <f t="shared" si="1"/>
        <v>0.3654018182</v>
      </c>
    </row>
    <row r="100">
      <c r="A100" s="16">
        <v>6.0</v>
      </c>
      <c r="B100" s="33" t="s">
        <v>29</v>
      </c>
      <c r="C100" s="41" t="s">
        <v>17</v>
      </c>
      <c r="D100" s="35"/>
      <c r="E100" s="27" t="s">
        <v>18</v>
      </c>
      <c r="F100" s="35">
        <v>6.438</v>
      </c>
      <c r="G100" s="40">
        <v>233412.0</v>
      </c>
      <c r="H100" s="61">
        <v>21.41</v>
      </c>
      <c r="I100" s="32">
        <f t="shared" si="1"/>
        <v>0.1099736364</v>
      </c>
    </row>
    <row r="101">
      <c r="A101" s="16">
        <v>7.0</v>
      </c>
      <c r="B101" s="33" t="s">
        <v>29</v>
      </c>
      <c r="C101" s="33"/>
      <c r="D101" s="35"/>
      <c r="E101" s="27" t="s">
        <v>19</v>
      </c>
      <c r="F101" s="35">
        <v>6.658</v>
      </c>
      <c r="G101" s="40">
        <v>5167.0</v>
      </c>
      <c r="H101" s="61">
        <v>0.47</v>
      </c>
      <c r="I101" s="32">
        <f t="shared" si="1"/>
        <v>0.006225909091</v>
      </c>
    </row>
    <row r="102">
      <c r="A102" s="16">
        <v>8.0</v>
      </c>
      <c r="B102" s="33" t="s">
        <v>29</v>
      </c>
      <c r="C102" s="33"/>
      <c r="D102" s="35"/>
      <c r="E102" s="27" t="s">
        <v>22</v>
      </c>
      <c r="F102" s="35">
        <v>6.718</v>
      </c>
      <c r="G102" s="36">
        <v>377.0</v>
      </c>
      <c r="H102" s="39">
        <v>0.03</v>
      </c>
      <c r="I102" s="32">
        <f t="shared" si="1"/>
        <v>0.004048636364</v>
      </c>
    </row>
    <row r="103">
      <c r="A103" s="16">
        <v>9.0</v>
      </c>
      <c r="B103" s="33" t="s">
        <v>29</v>
      </c>
      <c r="C103" s="33"/>
      <c r="D103" s="35"/>
      <c r="E103" s="27"/>
      <c r="F103" s="35">
        <v>7.053</v>
      </c>
      <c r="G103" s="36">
        <v>8027.0</v>
      </c>
      <c r="H103" s="39">
        <v>0.74</v>
      </c>
      <c r="I103" s="32">
        <f t="shared" si="1"/>
        <v>0.007525909091</v>
      </c>
    </row>
    <row r="104">
      <c r="A104" s="16">
        <v>10.0</v>
      </c>
      <c r="B104" s="33" t="s">
        <v>29</v>
      </c>
      <c r="C104" s="33"/>
      <c r="D104" s="35"/>
      <c r="E104" s="27" t="s">
        <v>20</v>
      </c>
      <c r="F104" s="35">
        <v>7.204</v>
      </c>
      <c r="G104" s="36">
        <v>6384.0</v>
      </c>
      <c r="H104" s="39">
        <v>0.59</v>
      </c>
      <c r="I104" s="32">
        <f t="shared" si="1"/>
        <v>0.006779090909</v>
      </c>
    </row>
    <row r="105">
      <c r="A105" s="16">
        <v>11.0</v>
      </c>
      <c r="B105" s="33" t="s">
        <v>29</v>
      </c>
      <c r="C105" s="33"/>
      <c r="D105" s="35"/>
      <c r="E105" s="27"/>
      <c r="F105" s="35">
        <v>7.305</v>
      </c>
      <c r="G105" s="36">
        <v>3147.0</v>
      </c>
      <c r="H105" s="39">
        <v>0.29</v>
      </c>
      <c r="I105" s="32">
        <f t="shared" si="1"/>
        <v>0.005307727273</v>
      </c>
    </row>
    <row r="106">
      <c r="A106" s="16">
        <v>1.0</v>
      </c>
      <c r="B106" s="33" t="s">
        <v>30</v>
      </c>
      <c r="C106" s="33" t="s">
        <v>80</v>
      </c>
      <c r="D106" s="35"/>
      <c r="E106" s="27"/>
      <c r="F106" s="35">
        <v>4.468</v>
      </c>
      <c r="G106" s="36">
        <v>1826.0</v>
      </c>
      <c r="H106" s="39">
        <v>0.17</v>
      </c>
      <c r="I106" s="32">
        <f t="shared" si="1"/>
        <v>0.004707272727</v>
      </c>
    </row>
    <row r="107">
      <c r="A107" s="16">
        <v>2.0</v>
      </c>
      <c r="B107" s="33" t="s">
        <v>30</v>
      </c>
      <c r="C107" s="41" t="s">
        <v>10</v>
      </c>
      <c r="D107" s="35"/>
      <c r="E107" s="27" t="s">
        <v>11</v>
      </c>
      <c r="F107" s="35">
        <v>4.749</v>
      </c>
      <c r="G107" s="40">
        <v>30815.0</v>
      </c>
      <c r="H107" s="61">
        <v>2.79</v>
      </c>
      <c r="I107" s="32">
        <f t="shared" si="1"/>
        <v>0.01788409091</v>
      </c>
    </row>
    <row r="108">
      <c r="A108" s="16">
        <v>3.0</v>
      </c>
      <c r="B108" s="33" t="s">
        <v>30</v>
      </c>
      <c r="C108" s="41" t="s">
        <v>82</v>
      </c>
      <c r="D108" s="35"/>
      <c r="E108" s="27"/>
      <c r="F108" s="35">
        <v>4.9</v>
      </c>
      <c r="G108" s="40"/>
      <c r="H108" s="61"/>
      <c r="I108" s="32" t="str">
        <f t="shared" si="1"/>
        <v/>
      </c>
    </row>
    <row r="109">
      <c r="A109" s="16">
        <v>4.0</v>
      </c>
      <c r="B109" s="33" t="s">
        <v>30</v>
      </c>
      <c r="C109" s="33" t="s">
        <v>13</v>
      </c>
      <c r="D109" s="35"/>
      <c r="E109" s="27" t="s">
        <v>14</v>
      </c>
      <c r="F109" s="35">
        <v>5.755</v>
      </c>
      <c r="G109" s="40">
        <v>4558.0</v>
      </c>
      <c r="H109" s="61">
        <v>0.41</v>
      </c>
      <c r="I109" s="32">
        <f t="shared" si="1"/>
        <v>0.005949090909</v>
      </c>
    </row>
    <row r="110">
      <c r="A110" s="16">
        <v>5.0</v>
      </c>
      <c r="B110" s="33" t="s">
        <v>30</v>
      </c>
      <c r="C110" s="41" t="s">
        <v>15</v>
      </c>
      <c r="D110" s="35"/>
      <c r="E110" s="27" t="s">
        <v>16</v>
      </c>
      <c r="F110" s="35">
        <v>5.881</v>
      </c>
      <c r="G110" s="36">
        <v>803265.0</v>
      </c>
      <c r="H110" s="39">
        <v>72.64</v>
      </c>
      <c r="I110" s="32">
        <f t="shared" si="1"/>
        <v>0.3689977273</v>
      </c>
    </row>
    <row r="111">
      <c r="A111" s="16">
        <v>6.0</v>
      </c>
      <c r="B111" s="33" t="s">
        <v>30</v>
      </c>
      <c r="C111" s="33" t="s">
        <v>17</v>
      </c>
      <c r="D111" s="35"/>
      <c r="E111" s="27" t="s">
        <v>18</v>
      </c>
      <c r="F111" s="35">
        <v>6.439</v>
      </c>
      <c r="G111" s="40">
        <v>241829.0</v>
      </c>
      <c r="H111" s="61">
        <v>21.87</v>
      </c>
      <c r="I111" s="32">
        <f t="shared" si="1"/>
        <v>0.1137995455</v>
      </c>
    </row>
    <row r="112">
      <c r="A112" s="16">
        <v>7.0</v>
      </c>
      <c r="B112" s="33" t="s">
        <v>30</v>
      </c>
      <c r="C112" s="33"/>
      <c r="D112" s="35"/>
      <c r="E112" s="27" t="s">
        <v>19</v>
      </c>
      <c r="F112" s="35">
        <v>6.659</v>
      </c>
      <c r="G112" s="40">
        <v>5242.0</v>
      </c>
      <c r="H112" s="39">
        <v>0.47</v>
      </c>
      <c r="I112" s="32">
        <f t="shared" si="1"/>
        <v>0.00626</v>
      </c>
    </row>
    <row r="113">
      <c r="A113" s="16">
        <v>8.0</v>
      </c>
      <c r="B113" s="33" t="s">
        <v>30</v>
      </c>
      <c r="C113" s="33"/>
      <c r="D113" s="35"/>
      <c r="E113" s="27" t="s">
        <v>22</v>
      </c>
      <c r="F113" s="35">
        <v>6.718</v>
      </c>
      <c r="G113" s="36">
        <v>394.0</v>
      </c>
      <c r="H113" s="39">
        <v>0.04</v>
      </c>
      <c r="I113" s="32">
        <f t="shared" si="1"/>
        <v>0.004056363636</v>
      </c>
    </row>
    <row r="114">
      <c r="A114" s="16">
        <v>9.0</v>
      </c>
      <c r="B114" s="33" t="s">
        <v>30</v>
      </c>
      <c r="C114" s="33"/>
      <c r="D114" s="35"/>
      <c r="E114" s="27"/>
      <c r="F114" s="35">
        <v>7.054</v>
      </c>
      <c r="G114" s="36">
        <v>8122.0</v>
      </c>
      <c r="H114" s="39">
        <v>0.73</v>
      </c>
      <c r="I114" s="32">
        <f t="shared" si="1"/>
        <v>0.007569090909</v>
      </c>
    </row>
    <row r="115">
      <c r="A115" s="16">
        <v>10.0</v>
      </c>
      <c r="B115" s="33" t="s">
        <v>30</v>
      </c>
      <c r="C115" s="33"/>
      <c r="D115" s="35"/>
      <c r="E115" s="27" t="s">
        <v>20</v>
      </c>
      <c r="F115" s="35">
        <v>7.205</v>
      </c>
      <c r="G115" s="36">
        <v>6718.0</v>
      </c>
      <c r="H115" s="39">
        <v>0.61</v>
      </c>
      <c r="I115" s="32">
        <f t="shared" si="1"/>
        <v>0.006930909091</v>
      </c>
    </row>
    <row r="116">
      <c r="A116" s="16">
        <v>11.0</v>
      </c>
      <c r="B116" s="33" t="s">
        <v>30</v>
      </c>
      <c r="C116" s="33"/>
      <c r="D116" s="35"/>
      <c r="E116" s="27"/>
      <c r="F116" s="35">
        <v>7.306</v>
      </c>
      <c r="G116" s="36">
        <v>3024.0</v>
      </c>
      <c r="H116" s="39">
        <v>0.27</v>
      </c>
      <c r="I116" s="32">
        <f t="shared" si="1"/>
        <v>0.005251818182</v>
      </c>
    </row>
    <row r="117">
      <c r="A117" s="16">
        <v>1.0</v>
      </c>
      <c r="B117" s="33" t="s">
        <v>31</v>
      </c>
      <c r="C117" s="33" t="s">
        <v>80</v>
      </c>
      <c r="D117" s="35"/>
      <c r="E117" s="27"/>
      <c r="F117" s="35">
        <v>4.461</v>
      </c>
      <c r="G117" s="36">
        <v>1959.0</v>
      </c>
      <c r="H117" s="39">
        <v>0.19</v>
      </c>
      <c r="I117" s="32">
        <f t="shared" si="1"/>
        <v>0.004767727273</v>
      </c>
    </row>
    <row r="118">
      <c r="A118" s="16">
        <v>2.0</v>
      </c>
      <c r="B118" s="33" t="s">
        <v>31</v>
      </c>
      <c r="C118" s="41" t="s">
        <v>10</v>
      </c>
      <c r="D118" s="35"/>
      <c r="E118" s="27" t="s">
        <v>11</v>
      </c>
      <c r="F118" s="35">
        <v>4.746</v>
      </c>
      <c r="G118" s="40">
        <v>24811.0</v>
      </c>
      <c r="H118" s="61">
        <v>2.46</v>
      </c>
      <c r="I118" s="32">
        <f t="shared" si="1"/>
        <v>0.015155</v>
      </c>
    </row>
    <row r="119">
      <c r="A119" s="16">
        <v>3.0</v>
      </c>
      <c r="B119" s="33" t="s">
        <v>31</v>
      </c>
      <c r="C119" s="33" t="s">
        <v>82</v>
      </c>
      <c r="D119" s="35"/>
      <c r="E119" s="27"/>
      <c r="F119" s="35">
        <v>4.9</v>
      </c>
      <c r="G119" s="36"/>
      <c r="H119" s="39"/>
      <c r="I119" s="32" t="str">
        <f t="shared" si="1"/>
        <v/>
      </c>
    </row>
    <row r="120">
      <c r="A120" s="16">
        <v>4.0</v>
      </c>
      <c r="B120" s="33" t="s">
        <v>31</v>
      </c>
      <c r="C120" s="33" t="s">
        <v>13</v>
      </c>
      <c r="D120" s="35"/>
      <c r="E120" s="27" t="s">
        <v>14</v>
      </c>
      <c r="F120" s="35">
        <v>5.756</v>
      </c>
      <c r="G120" s="36">
        <v>3882.0</v>
      </c>
      <c r="H120" s="39">
        <v>0.38</v>
      </c>
      <c r="I120" s="32">
        <f t="shared" si="1"/>
        <v>0.005641818182</v>
      </c>
    </row>
    <row r="121">
      <c r="A121" s="16">
        <v>5.0</v>
      </c>
      <c r="B121" s="33" t="s">
        <v>31</v>
      </c>
      <c r="C121" s="41" t="s">
        <v>15</v>
      </c>
      <c r="D121" s="41"/>
      <c r="E121" s="27" t="s">
        <v>16</v>
      </c>
      <c r="F121" s="41">
        <v>5.881</v>
      </c>
      <c r="G121" s="36">
        <v>720088.0</v>
      </c>
      <c r="H121" s="39">
        <v>71.34</v>
      </c>
      <c r="I121" s="32">
        <f t="shared" si="1"/>
        <v>0.33119</v>
      </c>
    </row>
    <row r="122">
      <c r="A122" s="16">
        <v>6.0</v>
      </c>
      <c r="B122" s="33" t="s">
        <v>31</v>
      </c>
      <c r="C122" s="33" t="s">
        <v>17</v>
      </c>
      <c r="D122" s="35"/>
      <c r="E122" s="27" t="s">
        <v>18</v>
      </c>
      <c r="F122" s="35">
        <v>6.438</v>
      </c>
      <c r="G122" s="40">
        <v>224169.0</v>
      </c>
      <c r="H122" s="61">
        <v>22.21</v>
      </c>
      <c r="I122" s="32">
        <f t="shared" si="1"/>
        <v>0.1057722727</v>
      </c>
    </row>
    <row r="123">
      <c r="A123" s="16">
        <v>7.0</v>
      </c>
      <c r="B123" s="33" t="s">
        <v>31</v>
      </c>
      <c r="C123" s="33"/>
      <c r="D123" s="35"/>
      <c r="E123" s="27" t="s">
        <v>19</v>
      </c>
      <c r="F123" s="35">
        <v>6.658</v>
      </c>
      <c r="G123" s="36">
        <v>4860.0</v>
      </c>
      <c r="H123" s="39">
        <v>0.48</v>
      </c>
      <c r="I123" s="32">
        <f t="shared" si="1"/>
        <v>0.006086363636</v>
      </c>
    </row>
    <row r="124">
      <c r="A124" s="16">
        <v>8.0</v>
      </c>
      <c r="B124" s="33" t="s">
        <v>31</v>
      </c>
      <c r="C124" s="33"/>
      <c r="D124" s="35"/>
      <c r="E124" s="27" t="s">
        <v>22</v>
      </c>
      <c r="F124" s="35">
        <v>6.718</v>
      </c>
      <c r="G124" s="36">
        <v>372.0</v>
      </c>
      <c r="H124" s="39">
        <v>0.04</v>
      </c>
      <c r="I124" s="32">
        <f t="shared" si="1"/>
        <v>0.004046363636</v>
      </c>
    </row>
    <row r="125">
      <c r="A125" s="16">
        <v>9.0</v>
      </c>
      <c r="B125" s="33" t="s">
        <v>31</v>
      </c>
      <c r="C125" s="33"/>
      <c r="D125" s="35"/>
      <c r="E125" s="27"/>
      <c r="F125" s="35">
        <v>7.055</v>
      </c>
      <c r="G125" s="36">
        <v>13484.0</v>
      </c>
      <c r="H125" s="39">
        <v>1.34</v>
      </c>
      <c r="I125" s="32">
        <f t="shared" si="1"/>
        <v>0.01000636364</v>
      </c>
    </row>
    <row r="126">
      <c r="A126" s="16">
        <v>10.0</v>
      </c>
      <c r="B126" s="33" t="s">
        <v>31</v>
      </c>
      <c r="C126" s="33"/>
      <c r="D126" s="35"/>
      <c r="E126" s="27" t="s">
        <v>20</v>
      </c>
      <c r="F126" s="35">
        <v>7.206</v>
      </c>
      <c r="G126" s="36">
        <v>10408.0</v>
      </c>
      <c r="H126" s="39">
        <v>1.03</v>
      </c>
      <c r="I126" s="32">
        <f t="shared" si="1"/>
        <v>0.008608181818</v>
      </c>
    </row>
    <row r="127">
      <c r="A127" s="16">
        <v>11.0</v>
      </c>
      <c r="B127" s="33" t="s">
        <v>31</v>
      </c>
      <c r="C127" s="33"/>
      <c r="D127" s="35"/>
      <c r="E127" s="27"/>
      <c r="F127" s="35">
        <v>7.306</v>
      </c>
      <c r="G127" s="36">
        <v>5404.0</v>
      </c>
      <c r="H127" s="39">
        <v>0.54</v>
      </c>
      <c r="I127" s="32">
        <f t="shared" si="1"/>
        <v>0.006333636364</v>
      </c>
    </row>
    <row r="128">
      <c r="A128" s="16">
        <v>1.0</v>
      </c>
      <c r="B128" s="33" t="s">
        <v>32</v>
      </c>
      <c r="C128" s="33" t="s">
        <v>80</v>
      </c>
      <c r="D128" s="35"/>
      <c r="E128" s="27"/>
      <c r="F128" s="35">
        <v>4.457</v>
      </c>
      <c r="G128" s="36">
        <v>2017.0</v>
      </c>
      <c r="H128" s="39">
        <v>0.18</v>
      </c>
      <c r="I128" s="32">
        <f t="shared" si="1"/>
        <v>0.004794090909</v>
      </c>
    </row>
    <row r="129">
      <c r="A129" s="16">
        <v>2.0</v>
      </c>
      <c r="B129" s="33" t="s">
        <v>32</v>
      </c>
      <c r="C129" s="41" t="s">
        <v>10</v>
      </c>
      <c r="D129" s="41"/>
      <c r="E129" s="27" t="s">
        <v>11</v>
      </c>
      <c r="F129" s="41">
        <v>4.744</v>
      </c>
      <c r="G129" s="40">
        <v>26305.0</v>
      </c>
      <c r="H129" s="61">
        <v>2.33</v>
      </c>
      <c r="I129" s="32">
        <f t="shared" si="1"/>
        <v>0.01583409091</v>
      </c>
    </row>
    <row r="130">
      <c r="A130" s="16">
        <v>3.0</v>
      </c>
      <c r="B130" s="33" t="s">
        <v>32</v>
      </c>
      <c r="C130" s="33" t="s">
        <v>82</v>
      </c>
      <c r="D130" s="35"/>
      <c r="E130" s="27"/>
      <c r="F130" s="35">
        <v>4.9</v>
      </c>
      <c r="G130" s="36"/>
      <c r="H130" s="39"/>
      <c r="I130" s="32" t="str">
        <f t="shared" si="1"/>
        <v/>
      </c>
    </row>
    <row r="131">
      <c r="A131" s="16">
        <v>4.0</v>
      </c>
      <c r="B131" s="33" t="s">
        <v>32</v>
      </c>
      <c r="C131" s="33" t="s">
        <v>13</v>
      </c>
      <c r="D131" s="35"/>
      <c r="E131" s="27" t="s">
        <v>14</v>
      </c>
      <c r="F131" s="35">
        <v>5.754</v>
      </c>
      <c r="G131" s="36">
        <v>4180.0</v>
      </c>
      <c r="H131" s="39">
        <v>0.37</v>
      </c>
      <c r="I131" s="32">
        <f t="shared" si="1"/>
        <v>0.005777272727</v>
      </c>
    </row>
    <row r="132">
      <c r="A132" s="16">
        <v>5.0</v>
      </c>
      <c r="B132" s="33" t="s">
        <v>32</v>
      </c>
      <c r="C132" s="33" t="s">
        <v>15</v>
      </c>
      <c r="D132" s="35"/>
      <c r="E132" s="27" t="s">
        <v>16</v>
      </c>
      <c r="F132" s="35">
        <v>5.881</v>
      </c>
      <c r="G132" s="36">
        <v>811335.0</v>
      </c>
      <c r="H132" s="39">
        <v>71.98</v>
      </c>
      <c r="I132" s="32">
        <f t="shared" si="1"/>
        <v>0.3726659091</v>
      </c>
    </row>
    <row r="133">
      <c r="A133" s="16">
        <v>6.0</v>
      </c>
      <c r="B133" s="33" t="s">
        <v>32</v>
      </c>
      <c r="C133" s="33" t="s">
        <v>17</v>
      </c>
      <c r="D133" s="35"/>
      <c r="E133" s="27" t="s">
        <v>18</v>
      </c>
      <c r="F133" s="35">
        <v>6.438</v>
      </c>
      <c r="G133" s="36">
        <v>258910.0</v>
      </c>
      <c r="H133" s="39">
        <v>22.97</v>
      </c>
      <c r="I133" s="32">
        <f t="shared" si="1"/>
        <v>0.1215636364</v>
      </c>
    </row>
    <row r="134">
      <c r="A134" s="16">
        <v>7.0</v>
      </c>
      <c r="B134" s="33" t="s">
        <v>32</v>
      </c>
      <c r="C134" s="33"/>
      <c r="D134" s="35"/>
      <c r="E134" s="27" t="s">
        <v>19</v>
      </c>
      <c r="F134" s="35">
        <v>6.656</v>
      </c>
      <c r="G134" s="36">
        <v>5689.0</v>
      </c>
      <c r="H134" s="39">
        <v>0.5</v>
      </c>
      <c r="I134" s="32">
        <f t="shared" si="1"/>
        <v>0.006463181818</v>
      </c>
    </row>
    <row r="135">
      <c r="A135" s="16">
        <v>8.0</v>
      </c>
      <c r="B135" s="33" t="s">
        <v>32</v>
      </c>
      <c r="C135" s="33"/>
      <c r="D135" s="35"/>
      <c r="E135" s="27" t="s">
        <v>22</v>
      </c>
      <c r="F135" s="35">
        <v>6.718</v>
      </c>
      <c r="G135" s="35">
        <v>446.0</v>
      </c>
      <c r="H135" s="39">
        <v>0.04</v>
      </c>
      <c r="I135" s="32">
        <f t="shared" si="1"/>
        <v>0.00408</v>
      </c>
    </row>
    <row r="136">
      <c r="A136" s="16">
        <v>9.0</v>
      </c>
      <c r="B136" s="33" t="s">
        <v>32</v>
      </c>
      <c r="C136" s="33"/>
      <c r="D136" s="35"/>
      <c r="E136" s="27"/>
      <c r="F136" s="35">
        <v>7.053</v>
      </c>
      <c r="G136" s="36">
        <v>8721.0</v>
      </c>
      <c r="H136" s="39">
        <v>0.77</v>
      </c>
      <c r="I136" s="32">
        <f t="shared" si="1"/>
        <v>0.007841363636</v>
      </c>
    </row>
    <row r="137">
      <c r="A137" s="16">
        <v>10.0</v>
      </c>
      <c r="B137" s="33" t="s">
        <v>32</v>
      </c>
      <c r="C137" s="33"/>
      <c r="D137" s="35"/>
      <c r="E137" s="27" t="s">
        <v>20</v>
      </c>
      <c r="F137" s="35">
        <v>7.206</v>
      </c>
      <c r="G137" s="36">
        <v>6672.0</v>
      </c>
      <c r="H137" s="39">
        <v>0.59</v>
      </c>
      <c r="I137" s="32">
        <f t="shared" si="1"/>
        <v>0.00691</v>
      </c>
    </row>
    <row r="138">
      <c r="A138" s="16">
        <v>11.0</v>
      </c>
      <c r="B138" s="33" t="s">
        <v>32</v>
      </c>
      <c r="C138" s="33"/>
      <c r="D138" s="35"/>
      <c r="E138" s="27"/>
      <c r="F138" s="35">
        <v>7.306</v>
      </c>
      <c r="G138" s="36">
        <v>2848.0</v>
      </c>
      <c r="H138" s="39">
        <v>0.25</v>
      </c>
      <c r="I138" s="32">
        <f t="shared" si="1"/>
        <v>0.005171818182</v>
      </c>
    </row>
    <row r="139">
      <c r="A139" s="16">
        <v>1.0</v>
      </c>
      <c r="B139" s="33" t="s">
        <v>34</v>
      </c>
      <c r="C139" s="33" t="s">
        <v>80</v>
      </c>
      <c r="D139" s="35"/>
      <c r="E139" s="27"/>
      <c r="F139" s="35">
        <v>4.458</v>
      </c>
      <c r="G139" s="36">
        <v>1879.0</v>
      </c>
      <c r="H139" s="39">
        <v>0.17</v>
      </c>
      <c r="I139" s="32">
        <f t="shared" si="1"/>
        <v>0.004731363636</v>
      </c>
    </row>
    <row r="140">
      <c r="A140" s="16">
        <v>2.0</v>
      </c>
      <c r="B140" s="33" t="s">
        <v>34</v>
      </c>
      <c r="C140" s="41" t="s">
        <v>10</v>
      </c>
      <c r="D140" s="41"/>
      <c r="E140" s="27" t="s">
        <v>11</v>
      </c>
      <c r="F140" s="41">
        <v>4.742</v>
      </c>
      <c r="G140" s="40">
        <v>24950.0</v>
      </c>
      <c r="H140" s="61">
        <v>2.29</v>
      </c>
      <c r="I140" s="32">
        <f t="shared" si="1"/>
        <v>0.01521818182</v>
      </c>
    </row>
    <row r="141">
      <c r="A141" s="16">
        <v>3.0</v>
      </c>
      <c r="B141" s="33" t="s">
        <v>34</v>
      </c>
      <c r="C141" s="33" t="s">
        <v>82</v>
      </c>
      <c r="D141" s="35"/>
      <c r="E141" s="27"/>
      <c r="F141" s="35">
        <v>4.9</v>
      </c>
      <c r="G141" s="36"/>
      <c r="H141" s="39"/>
      <c r="I141" s="32" t="str">
        <f t="shared" si="1"/>
        <v/>
      </c>
    </row>
    <row r="142">
      <c r="A142" s="16">
        <v>4.0</v>
      </c>
      <c r="B142" s="33" t="s">
        <v>34</v>
      </c>
      <c r="C142" s="33" t="s">
        <v>13</v>
      </c>
      <c r="D142" s="35"/>
      <c r="E142" s="27" t="s">
        <v>14</v>
      </c>
      <c r="F142" s="35">
        <v>5.752</v>
      </c>
      <c r="G142" s="36">
        <v>3825.0</v>
      </c>
      <c r="H142" s="39">
        <v>0.35</v>
      </c>
      <c r="I142" s="32">
        <f t="shared" si="1"/>
        <v>0.005615909091</v>
      </c>
    </row>
    <row r="143">
      <c r="A143" s="16">
        <v>5.0</v>
      </c>
      <c r="B143" s="33" t="s">
        <v>34</v>
      </c>
      <c r="C143" s="33" t="s">
        <v>15</v>
      </c>
      <c r="D143" s="35"/>
      <c r="E143" s="27" t="s">
        <v>16</v>
      </c>
      <c r="F143" s="35">
        <v>5.879</v>
      </c>
      <c r="G143" s="36">
        <v>781745.0</v>
      </c>
      <c r="H143" s="39">
        <v>71.84</v>
      </c>
      <c r="I143" s="32">
        <f t="shared" si="1"/>
        <v>0.3592159091</v>
      </c>
    </row>
    <row r="144">
      <c r="A144" s="16">
        <v>6.0</v>
      </c>
      <c r="B144" s="33" t="s">
        <v>34</v>
      </c>
      <c r="C144" s="33" t="s">
        <v>17</v>
      </c>
      <c r="D144" s="35"/>
      <c r="E144" s="27" t="s">
        <v>18</v>
      </c>
      <c r="F144" s="35">
        <v>6.436</v>
      </c>
      <c r="G144" s="36">
        <v>251021.0</v>
      </c>
      <c r="H144" s="39">
        <v>23.07</v>
      </c>
      <c r="I144" s="32">
        <f t="shared" si="1"/>
        <v>0.1179777273</v>
      </c>
    </row>
    <row r="145">
      <c r="A145" s="16">
        <v>7.0</v>
      </c>
      <c r="B145" s="33" t="s">
        <v>34</v>
      </c>
      <c r="C145" s="33"/>
      <c r="D145" s="35"/>
      <c r="E145" s="27" t="s">
        <v>19</v>
      </c>
      <c r="F145" s="35">
        <v>6.656</v>
      </c>
      <c r="G145" s="36">
        <v>5430.0</v>
      </c>
      <c r="H145" s="39">
        <v>0.5</v>
      </c>
      <c r="I145" s="32">
        <f t="shared" si="1"/>
        <v>0.006345454545</v>
      </c>
    </row>
    <row r="146">
      <c r="A146" s="16">
        <v>8.0</v>
      </c>
      <c r="B146" s="33" t="s">
        <v>34</v>
      </c>
      <c r="C146" s="33"/>
      <c r="D146" s="35"/>
      <c r="E146" s="27" t="s">
        <v>22</v>
      </c>
      <c r="F146" s="35">
        <v>6.718</v>
      </c>
      <c r="G146" s="36">
        <v>342.0</v>
      </c>
      <c r="H146" s="39">
        <v>0.03</v>
      </c>
      <c r="I146" s="32">
        <f t="shared" si="1"/>
        <v>0.004032727273</v>
      </c>
    </row>
    <row r="147">
      <c r="A147" s="16">
        <v>9.0</v>
      </c>
      <c r="B147" s="33" t="s">
        <v>34</v>
      </c>
      <c r="C147" s="33"/>
      <c r="D147" s="35"/>
      <c r="E147" s="27"/>
      <c r="F147" s="35">
        <v>7.051</v>
      </c>
      <c r="G147" s="36">
        <v>8954.0</v>
      </c>
      <c r="H147" s="39">
        <v>0.82</v>
      </c>
      <c r="I147" s="32">
        <f t="shared" si="1"/>
        <v>0.007947272727</v>
      </c>
    </row>
    <row r="148">
      <c r="A148" s="16">
        <v>10.0</v>
      </c>
      <c r="B148" s="33" t="s">
        <v>34</v>
      </c>
      <c r="C148" s="33"/>
      <c r="D148" s="35"/>
      <c r="E148" s="27" t="s">
        <v>20</v>
      </c>
      <c r="F148" s="35">
        <v>7.203</v>
      </c>
      <c r="G148" s="36">
        <v>6725.0</v>
      </c>
      <c r="H148" s="39">
        <v>0.62</v>
      </c>
      <c r="I148" s="32">
        <f t="shared" si="1"/>
        <v>0.006934090909</v>
      </c>
    </row>
    <row r="149">
      <c r="A149" s="16">
        <v>11.0</v>
      </c>
      <c r="B149" s="33" t="s">
        <v>34</v>
      </c>
      <c r="C149" s="33"/>
      <c r="D149" s="35"/>
      <c r="E149" s="27"/>
      <c r="F149" s="35">
        <v>7.302</v>
      </c>
      <c r="G149" s="36">
        <v>3297.0</v>
      </c>
      <c r="H149" s="39">
        <v>0.3</v>
      </c>
      <c r="I149" s="32">
        <f t="shared" si="1"/>
        <v>0.005375909091</v>
      </c>
    </row>
    <row r="150">
      <c r="A150" s="16">
        <v>1.0</v>
      </c>
      <c r="B150" s="33" t="s">
        <v>35</v>
      </c>
      <c r="C150" s="33" t="s">
        <v>80</v>
      </c>
      <c r="D150" s="35"/>
      <c r="E150" s="27"/>
      <c r="F150" s="35">
        <v>4.46</v>
      </c>
      <c r="G150" s="36">
        <v>1984.0</v>
      </c>
      <c r="H150" s="39">
        <v>0.18</v>
      </c>
      <c r="I150" s="32">
        <f t="shared" si="1"/>
        <v>0.004779090909</v>
      </c>
    </row>
    <row r="151">
      <c r="A151" s="16">
        <v>2.0</v>
      </c>
      <c r="B151" s="33" t="s">
        <v>35</v>
      </c>
      <c r="C151" s="41" t="s">
        <v>10</v>
      </c>
      <c r="D151" s="41"/>
      <c r="E151" s="27" t="s">
        <v>11</v>
      </c>
      <c r="F151" s="41">
        <v>4.744</v>
      </c>
      <c r="G151" s="40">
        <v>25960.0</v>
      </c>
      <c r="H151" s="61">
        <v>2.35</v>
      </c>
      <c r="I151" s="32">
        <f t="shared" si="1"/>
        <v>0.01567727273</v>
      </c>
    </row>
    <row r="152">
      <c r="A152" s="16">
        <v>3.0</v>
      </c>
      <c r="B152" s="33" t="s">
        <v>35</v>
      </c>
      <c r="C152" s="33" t="s">
        <v>82</v>
      </c>
      <c r="D152" s="38"/>
      <c r="E152" s="27"/>
      <c r="F152" s="38">
        <v>4.9</v>
      </c>
      <c r="G152" s="36"/>
      <c r="H152" s="39"/>
      <c r="I152" s="32" t="str">
        <f t="shared" si="1"/>
        <v/>
      </c>
    </row>
    <row r="153">
      <c r="A153" s="16">
        <v>4.0</v>
      </c>
      <c r="B153" s="33" t="s">
        <v>35</v>
      </c>
      <c r="C153" s="33" t="s">
        <v>13</v>
      </c>
      <c r="D153" s="35"/>
      <c r="E153" s="27" t="s">
        <v>14</v>
      </c>
      <c r="F153" s="35">
        <v>5.754</v>
      </c>
      <c r="G153" s="36">
        <v>3821.0</v>
      </c>
      <c r="H153" s="39">
        <v>0.35</v>
      </c>
      <c r="I153" s="32">
        <f t="shared" si="1"/>
        <v>0.005614090909</v>
      </c>
    </row>
    <row r="154">
      <c r="A154" s="16">
        <v>5.0</v>
      </c>
      <c r="B154" s="33" t="s">
        <v>35</v>
      </c>
      <c r="C154" s="33" t="s">
        <v>15</v>
      </c>
      <c r="D154" s="38"/>
      <c r="E154" s="27" t="s">
        <v>16</v>
      </c>
      <c r="F154" s="38">
        <v>5.88</v>
      </c>
      <c r="G154" s="36">
        <v>790599.0</v>
      </c>
      <c r="H154" s="39">
        <v>71.53</v>
      </c>
      <c r="I154" s="32">
        <f t="shared" si="1"/>
        <v>0.3632404545</v>
      </c>
    </row>
    <row r="155">
      <c r="A155" s="16">
        <v>6.0</v>
      </c>
      <c r="B155" s="33" t="s">
        <v>35</v>
      </c>
      <c r="C155" s="33" t="s">
        <v>17</v>
      </c>
      <c r="D155" s="38"/>
      <c r="E155" s="27" t="s">
        <v>18</v>
      </c>
      <c r="F155" s="38">
        <v>6.435</v>
      </c>
      <c r="G155" s="36">
        <v>257534.0</v>
      </c>
      <c r="H155" s="39">
        <v>23.3</v>
      </c>
      <c r="I155" s="32">
        <f t="shared" si="1"/>
        <v>0.1209381818</v>
      </c>
    </row>
    <row r="156">
      <c r="A156" s="16">
        <v>7.0</v>
      </c>
      <c r="B156" s="33" t="s">
        <v>35</v>
      </c>
      <c r="C156" s="33"/>
      <c r="D156" s="38"/>
      <c r="E156" s="27" t="s">
        <v>19</v>
      </c>
      <c r="F156" s="38">
        <v>6.656</v>
      </c>
      <c r="G156" s="36">
        <v>5580.0</v>
      </c>
      <c r="H156" s="39">
        <v>0.5</v>
      </c>
      <c r="I156" s="32">
        <f t="shared" si="1"/>
        <v>0.006413636364</v>
      </c>
    </row>
    <row r="157">
      <c r="A157" s="16">
        <v>8.0</v>
      </c>
      <c r="B157" s="33" t="s">
        <v>35</v>
      </c>
      <c r="C157" s="33"/>
      <c r="D157" s="38"/>
      <c r="E157" s="27" t="s">
        <v>22</v>
      </c>
      <c r="F157" s="38">
        <v>6.718</v>
      </c>
      <c r="G157" s="36">
        <v>361.0</v>
      </c>
      <c r="H157" s="39">
        <v>0.03</v>
      </c>
      <c r="I157" s="32">
        <f t="shared" si="1"/>
        <v>0.004041363636</v>
      </c>
    </row>
    <row r="158">
      <c r="A158" s="16">
        <v>9.0</v>
      </c>
      <c r="B158" s="33" t="s">
        <v>35</v>
      </c>
      <c r="C158" s="33"/>
      <c r="D158" s="38"/>
      <c r="E158" s="27"/>
      <c r="F158" s="38">
        <v>7.052</v>
      </c>
      <c r="G158" s="36">
        <v>9238.0</v>
      </c>
      <c r="H158" s="39">
        <v>0.84</v>
      </c>
      <c r="I158" s="32">
        <f t="shared" si="1"/>
        <v>0.008076363636</v>
      </c>
    </row>
    <row r="159">
      <c r="A159" s="16">
        <v>10.0</v>
      </c>
      <c r="B159" s="33" t="s">
        <v>35</v>
      </c>
      <c r="C159" s="33"/>
      <c r="D159" s="38"/>
      <c r="E159" s="27" t="s">
        <v>20</v>
      </c>
      <c r="F159" s="38">
        <v>7.203</v>
      </c>
      <c r="G159" s="36">
        <v>6809.0</v>
      </c>
      <c r="H159" s="39">
        <v>0.62</v>
      </c>
      <c r="I159" s="32">
        <f t="shared" si="1"/>
        <v>0.006972272727</v>
      </c>
    </row>
    <row r="160">
      <c r="A160" s="16">
        <v>11.0</v>
      </c>
      <c r="B160" s="33" t="s">
        <v>35</v>
      </c>
      <c r="C160" s="33"/>
      <c r="D160" s="38"/>
      <c r="E160" s="27"/>
      <c r="F160" s="38">
        <v>7.303</v>
      </c>
      <c r="G160" s="36">
        <v>3433.0</v>
      </c>
      <c r="H160" s="39">
        <v>0.31</v>
      </c>
      <c r="I160" s="32">
        <f t="shared" si="1"/>
        <v>0.005437727273</v>
      </c>
    </row>
    <row r="161">
      <c r="A161" s="16">
        <v>1.0</v>
      </c>
      <c r="B161" s="33" t="s">
        <v>40</v>
      </c>
      <c r="C161" s="33" t="s">
        <v>80</v>
      </c>
      <c r="D161" s="38"/>
      <c r="E161" s="27"/>
      <c r="F161" s="38">
        <v>4.46</v>
      </c>
      <c r="G161" s="36">
        <v>2141.0</v>
      </c>
      <c r="H161" s="39">
        <v>0.19</v>
      </c>
      <c r="I161" s="32">
        <f t="shared" si="1"/>
        <v>0.004850454545</v>
      </c>
    </row>
    <row r="162">
      <c r="A162" s="16">
        <v>2.0</v>
      </c>
      <c r="B162" s="33" t="s">
        <v>40</v>
      </c>
      <c r="C162" s="33" t="s">
        <v>10</v>
      </c>
      <c r="D162" s="38"/>
      <c r="E162" s="27" t="s">
        <v>11</v>
      </c>
      <c r="F162" s="38">
        <v>4.743</v>
      </c>
      <c r="G162" s="36">
        <v>26070.0</v>
      </c>
      <c r="H162" s="39">
        <v>2.36</v>
      </c>
      <c r="I162" s="32">
        <f t="shared" si="1"/>
        <v>0.01572727273</v>
      </c>
    </row>
    <row r="163">
      <c r="A163" s="16">
        <v>3.0</v>
      </c>
      <c r="B163" s="33" t="s">
        <v>40</v>
      </c>
      <c r="C163" s="33" t="s">
        <v>82</v>
      </c>
      <c r="D163" s="38"/>
      <c r="E163" s="27"/>
      <c r="F163" s="38">
        <v>4.9</v>
      </c>
      <c r="G163" s="36"/>
      <c r="H163" s="39"/>
      <c r="I163" s="32" t="str">
        <f t="shared" si="1"/>
        <v/>
      </c>
    </row>
    <row r="164">
      <c r="A164" s="16">
        <v>4.0</v>
      </c>
      <c r="B164" s="33" t="s">
        <v>40</v>
      </c>
      <c r="C164" s="33" t="s">
        <v>13</v>
      </c>
      <c r="D164" s="38"/>
      <c r="E164" s="27" t="s">
        <v>14</v>
      </c>
      <c r="F164" s="38">
        <v>5.752</v>
      </c>
      <c r="G164" s="36">
        <v>3733.0</v>
      </c>
      <c r="H164" s="39">
        <v>0.34</v>
      </c>
      <c r="I164" s="32">
        <f t="shared" si="1"/>
        <v>0.005574090909</v>
      </c>
    </row>
    <row r="165">
      <c r="A165" s="16">
        <v>5.0</v>
      </c>
      <c r="B165" s="33" t="s">
        <v>40</v>
      </c>
      <c r="C165" s="33" t="s">
        <v>15</v>
      </c>
      <c r="D165" s="38"/>
      <c r="E165" s="27" t="s">
        <v>16</v>
      </c>
      <c r="F165" s="38">
        <v>5.878</v>
      </c>
      <c r="G165" s="36">
        <v>787862.0</v>
      </c>
      <c r="H165" s="39">
        <v>71.31</v>
      </c>
      <c r="I165" s="32">
        <f t="shared" si="1"/>
        <v>0.3619963636</v>
      </c>
    </row>
    <row r="166">
      <c r="A166" s="16">
        <v>6.0</v>
      </c>
      <c r="B166" s="33" t="s">
        <v>40</v>
      </c>
      <c r="C166" s="33" t="s">
        <v>17</v>
      </c>
      <c r="D166" s="38"/>
      <c r="E166" s="27" t="s">
        <v>18</v>
      </c>
      <c r="F166" s="38">
        <v>6.437</v>
      </c>
      <c r="G166" s="36">
        <v>259028.0</v>
      </c>
      <c r="H166" s="39">
        <v>23.45</v>
      </c>
      <c r="I166" s="32">
        <f t="shared" si="1"/>
        <v>0.1216172727</v>
      </c>
    </row>
    <row r="167">
      <c r="A167" s="16">
        <v>7.0</v>
      </c>
      <c r="B167" s="33" t="s">
        <v>40</v>
      </c>
      <c r="C167" s="33"/>
      <c r="D167" s="38"/>
      <c r="E167" s="27" t="s">
        <v>19</v>
      </c>
      <c r="F167" s="38">
        <v>6.655</v>
      </c>
      <c r="G167" s="36">
        <v>5846.0</v>
      </c>
      <c r="H167" s="39">
        <v>0.53</v>
      </c>
      <c r="I167" s="32">
        <f t="shared" si="1"/>
        <v>0.006534545455</v>
      </c>
    </row>
    <row r="168">
      <c r="A168" s="16">
        <v>8.0</v>
      </c>
      <c r="B168" s="33" t="s">
        <v>40</v>
      </c>
      <c r="C168" s="33"/>
      <c r="D168" s="38"/>
      <c r="E168" s="27" t="s">
        <v>22</v>
      </c>
      <c r="F168" s="38">
        <v>6.718</v>
      </c>
      <c r="G168" s="36">
        <v>315.0</v>
      </c>
      <c r="H168" s="39">
        <v>0.03</v>
      </c>
      <c r="I168" s="32">
        <f t="shared" si="1"/>
        <v>0.004020454545</v>
      </c>
    </row>
    <row r="169">
      <c r="A169" s="16">
        <v>9.0</v>
      </c>
      <c r="B169" s="33" t="s">
        <v>40</v>
      </c>
      <c r="C169" s="33"/>
      <c r="D169" s="38"/>
      <c r="E169" s="27"/>
      <c r="F169" s="38">
        <v>7.05</v>
      </c>
      <c r="G169" s="36">
        <v>9454.0</v>
      </c>
      <c r="H169" s="39">
        <v>0.86</v>
      </c>
      <c r="I169" s="32">
        <f t="shared" si="1"/>
        <v>0.008174545455</v>
      </c>
    </row>
    <row r="170">
      <c r="A170" s="16">
        <v>10.0</v>
      </c>
      <c r="B170" s="33" t="s">
        <v>40</v>
      </c>
      <c r="C170" s="33"/>
      <c r="D170" s="38"/>
      <c r="E170" s="27" t="s">
        <v>20</v>
      </c>
      <c r="F170" s="38">
        <v>7.202</v>
      </c>
      <c r="G170" s="36">
        <v>6853.0</v>
      </c>
      <c r="H170" s="39">
        <v>0.62</v>
      </c>
      <c r="I170" s="32">
        <f t="shared" si="1"/>
        <v>0.006992272727</v>
      </c>
    </row>
    <row r="171">
      <c r="A171" s="16">
        <v>11.0</v>
      </c>
      <c r="B171" s="33" t="s">
        <v>40</v>
      </c>
      <c r="C171" s="33"/>
      <c r="D171" s="38"/>
      <c r="E171" s="27"/>
      <c r="F171" s="38">
        <v>7.305</v>
      </c>
      <c r="G171" s="36">
        <v>3507.0</v>
      </c>
      <c r="H171" s="39">
        <v>0.32</v>
      </c>
      <c r="I171" s="32">
        <f t="shared" si="1"/>
        <v>0.005471363636</v>
      </c>
    </row>
    <row r="172">
      <c r="A172" s="16">
        <v>1.0</v>
      </c>
      <c r="B172" s="33" t="s">
        <v>36</v>
      </c>
      <c r="C172" s="33" t="s">
        <v>80</v>
      </c>
      <c r="D172" s="38"/>
      <c r="E172" s="27"/>
      <c r="F172" s="38">
        <v>4.464</v>
      </c>
      <c r="G172" s="36">
        <v>2254.0</v>
      </c>
      <c r="H172" s="39">
        <v>0.22</v>
      </c>
      <c r="I172" s="32">
        <f t="shared" si="1"/>
        <v>0.004901818182</v>
      </c>
    </row>
    <row r="173">
      <c r="A173" s="16">
        <v>2.0</v>
      </c>
      <c r="B173" s="33" t="s">
        <v>36</v>
      </c>
      <c r="C173" s="41" t="s">
        <v>10</v>
      </c>
      <c r="D173" s="38"/>
      <c r="E173" s="27" t="s">
        <v>11</v>
      </c>
      <c r="F173" s="38">
        <v>4.74</v>
      </c>
      <c r="G173" s="36">
        <v>21817.0</v>
      </c>
      <c r="H173" s="39">
        <v>2.09</v>
      </c>
      <c r="I173" s="32">
        <f t="shared" si="1"/>
        <v>0.01379409091</v>
      </c>
    </row>
    <row r="174">
      <c r="A174" s="16">
        <v>3.0</v>
      </c>
      <c r="B174" s="33" t="s">
        <v>36</v>
      </c>
      <c r="C174" s="33" t="s">
        <v>82</v>
      </c>
      <c r="D174" s="38"/>
      <c r="E174" s="27"/>
      <c r="F174" s="38">
        <v>4.899</v>
      </c>
      <c r="G174" s="36">
        <v>3125.0</v>
      </c>
      <c r="H174" s="39">
        <v>0.3</v>
      </c>
      <c r="I174" s="32">
        <f t="shared" si="1"/>
        <v>0.005297727273</v>
      </c>
    </row>
    <row r="175">
      <c r="A175" s="16">
        <v>4.0</v>
      </c>
      <c r="B175" s="33" t="s">
        <v>36</v>
      </c>
      <c r="C175" s="33" t="s">
        <v>13</v>
      </c>
      <c r="D175" s="38"/>
      <c r="E175" s="27" t="s">
        <v>14</v>
      </c>
      <c r="F175" s="38">
        <v>5.752</v>
      </c>
      <c r="G175" s="36">
        <v>3429.0</v>
      </c>
      <c r="H175" s="39">
        <v>0.33</v>
      </c>
      <c r="I175" s="32">
        <f t="shared" si="1"/>
        <v>0.005435909091</v>
      </c>
    </row>
    <row r="176">
      <c r="A176" s="16">
        <v>5.0</v>
      </c>
      <c r="B176" s="33" t="s">
        <v>36</v>
      </c>
      <c r="C176" s="33" t="s">
        <v>15</v>
      </c>
      <c r="D176" s="38"/>
      <c r="E176" s="27" t="s">
        <v>16</v>
      </c>
      <c r="F176" s="38">
        <v>5.877</v>
      </c>
      <c r="G176" s="36">
        <v>743433.0</v>
      </c>
      <c r="H176" s="39">
        <v>71.19</v>
      </c>
      <c r="I176" s="32">
        <f t="shared" si="1"/>
        <v>0.3418013636</v>
      </c>
    </row>
    <row r="177">
      <c r="A177" s="16">
        <v>6.0</v>
      </c>
      <c r="B177" s="33" t="s">
        <v>36</v>
      </c>
      <c r="C177" s="33" t="s">
        <v>17</v>
      </c>
      <c r="D177" s="38"/>
      <c r="E177" s="27" t="s">
        <v>18</v>
      </c>
      <c r="F177" s="38">
        <v>6.435</v>
      </c>
      <c r="G177" s="36">
        <v>244970.0</v>
      </c>
      <c r="H177" s="39">
        <v>23.46</v>
      </c>
      <c r="I177" s="32">
        <f t="shared" si="1"/>
        <v>0.1152272727</v>
      </c>
    </row>
    <row r="178">
      <c r="A178" s="16">
        <v>7.0</v>
      </c>
      <c r="B178" s="33" t="s">
        <v>36</v>
      </c>
      <c r="C178" s="33"/>
      <c r="D178" s="38"/>
      <c r="E178" s="27" t="s">
        <v>19</v>
      </c>
      <c r="F178" s="38">
        <v>6.655</v>
      </c>
      <c r="G178" s="36">
        <v>5802.0</v>
      </c>
      <c r="H178" s="39">
        <v>0.56</v>
      </c>
      <c r="I178" s="32">
        <f t="shared" si="1"/>
        <v>0.006514545455</v>
      </c>
    </row>
    <row r="179">
      <c r="A179" s="16">
        <v>8.0</v>
      </c>
      <c r="B179" s="33" t="s">
        <v>36</v>
      </c>
      <c r="C179" s="33"/>
      <c r="D179" s="38"/>
      <c r="E179" s="27"/>
      <c r="F179" s="38">
        <v>7.051</v>
      </c>
      <c r="G179" s="36">
        <v>9022.0</v>
      </c>
      <c r="H179" s="39">
        <v>0.86</v>
      </c>
      <c r="I179" s="32">
        <f t="shared" si="1"/>
        <v>0.007978181818</v>
      </c>
    </row>
    <row r="180">
      <c r="A180" s="16">
        <v>9.0</v>
      </c>
      <c r="B180" s="33" t="s">
        <v>36</v>
      </c>
      <c r="C180" s="33"/>
      <c r="D180" s="38"/>
      <c r="E180" s="27" t="s">
        <v>20</v>
      </c>
      <c r="F180" s="38">
        <v>7.201</v>
      </c>
      <c r="G180" s="36">
        <v>6552.0</v>
      </c>
      <c r="H180" s="39">
        <v>0.63</v>
      </c>
      <c r="I180" s="32">
        <f t="shared" si="1"/>
        <v>0.006855454545</v>
      </c>
    </row>
    <row r="181">
      <c r="A181" s="16">
        <v>10.0</v>
      </c>
      <c r="B181" s="33" t="s">
        <v>36</v>
      </c>
      <c r="C181" s="33"/>
      <c r="D181" s="38"/>
      <c r="E181" s="27"/>
      <c r="F181" s="38">
        <v>7.303</v>
      </c>
      <c r="G181" s="36">
        <v>3908.0</v>
      </c>
      <c r="H181" s="39">
        <v>0.37</v>
      </c>
      <c r="I181" s="32">
        <f t="shared" si="1"/>
        <v>0.005653636364</v>
      </c>
    </row>
    <row r="182">
      <c r="A182" s="16">
        <v>1.0</v>
      </c>
      <c r="B182" s="33" t="s">
        <v>37</v>
      </c>
      <c r="C182" s="33" t="s">
        <v>80</v>
      </c>
      <c r="D182" s="38"/>
      <c r="E182" s="27"/>
      <c r="F182" s="38">
        <v>4.462</v>
      </c>
      <c r="G182" s="36">
        <v>2047.0</v>
      </c>
      <c r="H182" s="39">
        <v>0.18</v>
      </c>
      <c r="I182" s="32">
        <f t="shared" si="1"/>
        <v>0.004807727273</v>
      </c>
    </row>
    <row r="183">
      <c r="A183" s="16">
        <v>2.0</v>
      </c>
      <c r="B183" s="33" t="s">
        <v>37</v>
      </c>
      <c r="C183" s="41" t="s">
        <v>10</v>
      </c>
      <c r="D183" s="38"/>
      <c r="E183" s="27" t="s">
        <v>11</v>
      </c>
      <c r="F183" s="38">
        <v>4.743</v>
      </c>
      <c r="G183" s="36">
        <v>23556.0</v>
      </c>
      <c r="H183" s="39">
        <v>2.1</v>
      </c>
      <c r="I183" s="32">
        <f t="shared" si="1"/>
        <v>0.01458454545</v>
      </c>
    </row>
    <row r="184">
      <c r="A184" s="16">
        <v>3.0</v>
      </c>
      <c r="B184" s="33" t="s">
        <v>37</v>
      </c>
      <c r="C184" s="33" t="s">
        <v>82</v>
      </c>
      <c r="D184" s="38"/>
      <c r="E184" s="27"/>
      <c r="F184" s="38">
        <v>4.899</v>
      </c>
      <c r="G184" s="36">
        <v>3452.0</v>
      </c>
      <c r="H184" s="39">
        <v>0.31</v>
      </c>
      <c r="I184" s="32">
        <f t="shared" si="1"/>
        <v>0.005446363636</v>
      </c>
    </row>
    <row r="185">
      <c r="A185" s="16">
        <v>4.0</v>
      </c>
      <c r="B185" s="33" t="s">
        <v>37</v>
      </c>
      <c r="C185" s="33" t="s">
        <v>13</v>
      </c>
      <c r="D185" s="38"/>
      <c r="E185" s="27" t="s">
        <v>14</v>
      </c>
      <c r="F185" s="38">
        <v>5.751</v>
      </c>
      <c r="G185" s="36">
        <v>3651.0</v>
      </c>
      <c r="H185" s="39">
        <v>0.33</v>
      </c>
      <c r="I185" s="32">
        <f t="shared" si="1"/>
        <v>0.005536818182</v>
      </c>
    </row>
    <row r="186">
      <c r="A186" s="16">
        <v>5.0</v>
      </c>
      <c r="B186" s="33" t="s">
        <v>37</v>
      </c>
      <c r="C186" s="33" t="s">
        <v>15</v>
      </c>
      <c r="D186" s="38"/>
      <c r="E186" s="27" t="s">
        <v>16</v>
      </c>
      <c r="F186" s="38">
        <v>5.878</v>
      </c>
      <c r="G186" s="36">
        <v>799030.0</v>
      </c>
      <c r="H186" s="39">
        <v>71.24</v>
      </c>
      <c r="I186" s="32">
        <f t="shared" si="1"/>
        <v>0.3670727273</v>
      </c>
    </row>
    <row r="187">
      <c r="A187" s="16">
        <v>6.0</v>
      </c>
      <c r="B187" s="33" t="s">
        <v>37</v>
      </c>
      <c r="C187" s="33" t="s">
        <v>17</v>
      </c>
      <c r="D187" s="38"/>
      <c r="E187" s="27" t="s">
        <v>18</v>
      </c>
      <c r="F187" s="38">
        <v>6.434</v>
      </c>
      <c r="G187" s="36">
        <v>262576.0</v>
      </c>
      <c r="H187" s="39">
        <v>23.41</v>
      </c>
      <c r="I187" s="32">
        <f t="shared" si="1"/>
        <v>0.12323</v>
      </c>
    </row>
    <row r="188">
      <c r="A188" s="16">
        <v>7.0</v>
      </c>
      <c r="B188" s="33" t="s">
        <v>37</v>
      </c>
      <c r="C188" s="33"/>
      <c r="D188" s="38"/>
      <c r="E188" s="27" t="s">
        <v>19</v>
      </c>
      <c r="F188" s="38">
        <v>6.653</v>
      </c>
      <c r="G188" s="36">
        <v>6359.0</v>
      </c>
      <c r="H188" s="39">
        <v>0.57</v>
      </c>
      <c r="I188" s="32">
        <f t="shared" si="1"/>
        <v>0.006767727273</v>
      </c>
    </row>
    <row r="189">
      <c r="A189" s="16">
        <v>8.0</v>
      </c>
      <c r="B189" s="33" t="s">
        <v>37</v>
      </c>
      <c r="C189" s="33"/>
      <c r="D189" s="38"/>
      <c r="E189" s="27"/>
      <c r="F189" s="38">
        <v>7.048</v>
      </c>
      <c r="G189" s="36">
        <v>10001.0</v>
      </c>
      <c r="H189" s="39">
        <v>0.89</v>
      </c>
      <c r="I189" s="32">
        <f t="shared" si="1"/>
        <v>0.008423181818</v>
      </c>
    </row>
    <row r="190">
      <c r="A190" s="16">
        <v>9.0</v>
      </c>
      <c r="B190" s="33" t="s">
        <v>37</v>
      </c>
      <c r="C190" s="33"/>
      <c r="D190" s="38"/>
      <c r="E190" s="27" t="s">
        <v>20</v>
      </c>
      <c r="F190" s="38">
        <v>7.198</v>
      </c>
      <c r="G190" s="36">
        <v>7105.0</v>
      </c>
      <c r="H190" s="39">
        <v>0.63</v>
      </c>
      <c r="I190" s="32">
        <f t="shared" si="1"/>
        <v>0.007106818182</v>
      </c>
    </row>
    <row r="191">
      <c r="A191" s="16">
        <v>10.0</v>
      </c>
      <c r="B191" s="33" t="s">
        <v>37</v>
      </c>
      <c r="C191" s="33"/>
      <c r="D191" s="38"/>
      <c r="E191" s="27"/>
      <c r="F191" s="38">
        <v>7.302</v>
      </c>
      <c r="G191" s="36">
        <v>3887.0</v>
      </c>
      <c r="H191" s="39">
        <v>0.35</v>
      </c>
      <c r="I191" s="32">
        <f t="shared" si="1"/>
        <v>0.005644090909</v>
      </c>
    </row>
    <row r="192">
      <c r="A192" s="16">
        <v>1.0</v>
      </c>
      <c r="B192" s="33" t="s">
        <v>41</v>
      </c>
      <c r="C192" s="33" t="s">
        <v>80</v>
      </c>
      <c r="D192" s="38"/>
      <c r="E192" s="27"/>
      <c r="F192" s="38">
        <v>4.461</v>
      </c>
      <c r="G192" s="36">
        <v>1974.0</v>
      </c>
      <c r="H192" s="39">
        <v>0.2</v>
      </c>
      <c r="I192" s="32">
        <f t="shared" si="1"/>
        <v>0.004774545455</v>
      </c>
    </row>
    <row r="193">
      <c r="A193" s="16">
        <v>2.0</v>
      </c>
      <c r="B193" s="33" t="s">
        <v>41</v>
      </c>
      <c r="C193" s="41" t="s">
        <v>10</v>
      </c>
      <c r="D193" s="38"/>
      <c r="E193" s="27" t="s">
        <v>11</v>
      </c>
      <c r="F193" s="38">
        <v>4.734</v>
      </c>
      <c r="G193" s="36">
        <v>21139.0</v>
      </c>
      <c r="H193" s="39">
        <v>2.1</v>
      </c>
      <c r="I193" s="32">
        <f t="shared" si="1"/>
        <v>0.01348590909</v>
      </c>
    </row>
    <row r="194">
      <c r="A194" s="16">
        <v>3.0</v>
      </c>
      <c r="B194" s="33" t="s">
        <v>41</v>
      </c>
      <c r="C194" s="33" t="s">
        <v>82</v>
      </c>
      <c r="D194" s="38"/>
      <c r="E194" s="27"/>
      <c r="F194" s="38">
        <v>4.894</v>
      </c>
      <c r="G194" s="36">
        <v>3991.0</v>
      </c>
      <c r="H194" s="39">
        <v>0.4</v>
      </c>
      <c r="I194" s="32">
        <f t="shared" si="1"/>
        <v>0.005691363636</v>
      </c>
    </row>
    <row r="195">
      <c r="A195" s="16">
        <v>4.0</v>
      </c>
      <c r="B195" s="33" t="s">
        <v>41</v>
      </c>
      <c r="C195" s="33" t="s">
        <v>13</v>
      </c>
      <c r="D195" s="38"/>
      <c r="E195" s="27" t="s">
        <v>14</v>
      </c>
      <c r="F195" s="38">
        <v>5.75</v>
      </c>
      <c r="G195" s="36">
        <v>3158.0</v>
      </c>
      <c r="H195" s="39">
        <v>0.31</v>
      </c>
      <c r="I195" s="32">
        <f t="shared" si="1"/>
        <v>0.005312727273</v>
      </c>
    </row>
    <row r="196">
      <c r="A196" s="16">
        <v>5.0</v>
      </c>
      <c r="B196" s="33" t="s">
        <v>41</v>
      </c>
      <c r="C196" s="33" t="s">
        <v>15</v>
      </c>
      <c r="D196" s="38"/>
      <c r="E196" s="27" t="s">
        <v>16</v>
      </c>
      <c r="F196" s="38">
        <v>5.875</v>
      </c>
      <c r="G196" s="36">
        <v>714862.0</v>
      </c>
      <c r="H196" s="39">
        <v>71.1</v>
      </c>
      <c r="I196" s="32">
        <f t="shared" si="1"/>
        <v>0.3288145455</v>
      </c>
    </row>
    <row r="197">
      <c r="A197" s="16">
        <v>6.0</v>
      </c>
      <c r="B197" s="33" t="s">
        <v>41</v>
      </c>
      <c r="C197" s="33" t="s">
        <v>17</v>
      </c>
      <c r="D197" s="38"/>
      <c r="E197" s="27" t="s">
        <v>18</v>
      </c>
      <c r="F197" s="38">
        <v>6.43</v>
      </c>
      <c r="G197" s="36">
        <v>235335.0</v>
      </c>
      <c r="H197" s="39">
        <v>23.41</v>
      </c>
      <c r="I197" s="32">
        <f t="shared" si="1"/>
        <v>0.1108477273</v>
      </c>
    </row>
    <row r="198">
      <c r="A198" s="16">
        <v>7.0</v>
      </c>
      <c r="B198" s="33" t="s">
        <v>41</v>
      </c>
      <c r="C198" s="33"/>
      <c r="D198" s="38"/>
      <c r="E198" s="27" t="s">
        <v>19</v>
      </c>
      <c r="F198" s="38">
        <v>6.651</v>
      </c>
      <c r="G198" s="36">
        <v>5853.0</v>
      </c>
      <c r="H198" s="39">
        <v>0.58</v>
      </c>
      <c r="I198" s="32">
        <f t="shared" si="1"/>
        <v>0.006537727273</v>
      </c>
    </row>
    <row r="199">
      <c r="A199" s="16">
        <v>8.0</v>
      </c>
      <c r="B199" s="33" t="s">
        <v>41</v>
      </c>
      <c r="C199" s="33"/>
      <c r="D199" s="38"/>
      <c r="E199" s="27"/>
      <c r="F199" s="38">
        <v>7.047</v>
      </c>
      <c r="G199" s="36">
        <v>8921.0</v>
      </c>
      <c r="H199" s="39">
        <v>0.89</v>
      </c>
      <c r="I199" s="32">
        <f t="shared" si="1"/>
        <v>0.007932272727</v>
      </c>
    </row>
    <row r="200">
      <c r="A200" s="16">
        <v>9.0</v>
      </c>
      <c r="B200" s="33" t="s">
        <v>41</v>
      </c>
      <c r="C200" s="33"/>
      <c r="D200" s="38"/>
      <c r="E200" s="27" t="s">
        <v>20</v>
      </c>
      <c r="F200" s="38">
        <v>7.196</v>
      </c>
      <c r="G200" s="36">
        <v>6222.0</v>
      </c>
      <c r="H200" s="39">
        <v>0.62</v>
      </c>
      <c r="I200" s="32">
        <f t="shared" si="1"/>
        <v>0.006705454545</v>
      </c>
    </row>
    <row r="201">
      <c r="A201" s="16">
        <v>10.0</v>
      </c>
      <c r="B201" s="33" t="s">
        <v>41</v>
      </c>
      <c r="C201" s="33"/>
      <c r="D201" s="38"/>
      <c r="E201" s="27"/>
      <c r="F201" s="38">
        <v>7.3</v>
      </c>
      <c r="G201" s="36">
        <v>4018.0</v>
      </c>
      <c r="H201" s="39">
        <v>0.4</v>
      </c>
      <c r="I201" s="32">
        <f t="shared" si="1"/>
        <v>0.005703636364</v>
      </c>
    </row>
    <row r="202">
      <c r="A202" s="16">
        <v>1.0</v>
      </c>
      <c r="B202" s="33" t="s">
        <v>38</v>
      </c>
      <c r="C202" s="33" t="s">
        <v>80</v>
      </c>
      <c r="D202" s="38"/>
      <c r="E202" s="27"/>
      <c r="F202" s="38">
        <v>4.456</v>
      </c>
      <c r="G202" s="36">
        <v>2192.0</v>
      </c>
      <c r="H202" s="39">
        <v>0.19</v>
      </c>
      <c r="I202" s="32">
        <f t="shared" si="1"/>
        <v>0.004873636364</v>
      </c>
    </row>
    <row r="203">
      <c r="A203" s="16">
        <v>2.0</v>
      </c>
      <c r="B203" s="33" t="s">
        <v>38</v>
      </c>
      <c r="C203" s="41" t="s">
        <v>10</v>
      </c>
      <c r="D203" s="38"/>
      <c r="E203" s="27" t="s">
        <v>11</v>
      </c>
      <c r="F203" s="38">
        <v>4.732</v>
      </c>
      <c r="G203" s="36">
        <v>28735.0</v>
      </c>
      <c r="H203" s="39">
        <v>2.47</v>
      </c>
      <c r="I203" s="32">
        <f t="shared" si="1"/>
        <v>0.01693863636</v>
      </c>
    </row>
    <row r="204">
      <c r="A204" s="16">
        <v>3.0</v>
      </c>
      <c r="B204" s="33" t="s">
        <v>38</v>
      </c>
      <c r="C204" s="33" t="s">
        <v>82</v>
      </c>
      <c r="D204" s="38"/>
      <c r="E204" s="27"/>
      <c r="F204" s="38">
        <v>4.987</v>
      </c>
      <c r="G204" s="36">
        <v>2038.0</v>
      </c>
      <c r="H204" s="39">
        <v>0.17</v>
      </c>
      <c r="I204" s="32">
        <f t="shared" si="1"/>
        <v>0.004803636364</v>
      </c>
    </row>
    <row r="205">
      <c r="A205" s="16">
        <v>4.0</v>
      </c>
      <c r="B205" s="33" t="s">
        <v>38</v>
      </c>
      <c r="C205" s="33"/>
      <c r="D205" s="38"/>
      <c r="E205" s="27"/>
      <c r="F205" s="38">
        <v>5.506</v>
      </c>
      <c r="G205" s="36">
        <v>6915.0</v>
      </c>
      <c r="H205" s="39">
        <v>0.59</v>
      </c>
      <c r="I205" s="32">
        <f t="shared" si="1"/>
        <v>0.007020454545</v>
      </c>
    </row>
    <row r="206">
      <c r="A206" s="16">
        <v>5.0</v>
      </c>
      <c r="B206" s="33" t="s">
        <v>38</v>
      </c>
      <c r="C206" s="33"/>
      <c r="D206" s="38"/>
      <c r="E206" s="27"/>
      <c r="F206" s="38">
        <v>5.548</v>
      </c>
      <c r="G206" s="36">
        <v>152.0</v>
      </c>
      <c r="H206" s="39">
        <v>0.01</v>
      </c>
      <c r="I206" s="32">
        <f t="shared" si="1"/>
        <v>0.003946363636</v>
      </c>
    </row>
    <row r="207">
      <c r="A207" s="16">
        <v>6.0</v>
      </c>
      <c r="B207" s="33" t="s">
        <v>38</v>
      </c>
      <c r="C207" s="33" t="s">
        <v>13</v>
      </c>
      <c r="D207" s="38"/>
      <c r="E207" s="27" t="s">
        <v>14</v>
      </c>
      <c r="F207" s="38">
        <v>5.747</v>
      </c>
      <c r="G207" s="36">
        <v>3693.0</v>
      </c>
      <c r="H207" s="39">
        <v>0.32</v>
      </c>
      <c r="I207" s="32">
        <f t="shared" si="1"/>
        <v>0.005555909091</v>
      </c>
    </row>
    <row r="208">
      <c r="A208" s="16">
        <v>7.0</v>
      </c>
      <c r="B208" s="33" t="s">
        <v>38</v>
      </c>
      <c r="C208" s="33" t="s">
        <v>15</v>
      </c>
      <c r="D208" s="38"/>
      <c r="E208" s="27" t="s">
        <v>16</v>
      </c>
      <c r="F208" s="38">
        <v>5.874</v>
      </c>
      <c r="G208" s="36">
        <v>821577.0</v>
      </c>
      <c r="H208" s="39">
        <v>70.52</v>
      </c>
      <c r="I208" s="32">
        <f t="shared" si="1"/>
        <v>0.3773213636</v>
      </c>
    </row>
    <row r="209">
      <c r="A209" s="16">
        <v>8.0</v>
      </c>
      <c r="B209" s="33" t="s">
        <v>38</v>
      </c>
      <c r="C209" s="33" t="s">
        <v>17</v>
      </c>
      <c r="D209" s="38"/>
      <c r="E209" s="27" t="s">
        <v>18</v>
      </c>
      <c r="F209" s="38">
        <v>6.433</v>
      </c>
      <c r="G209" s="36">
        <v>270767.0</v>
      </c>
      <c r="H209" s="39">
        <v>23.24</v>
      </c>
      <c r="I209" s="32">
        <f t="shared" si="1"/>
        <v>0.1269531818</v>
      </c>
    </row>
    <row r="210">
      <c r="A210" s="16">
        <v>9.0</v>
      </c>
      <c r="B210" s="33" t="s">
        <v>38</v>
      </c>
      <c r="C210" s="33"/>
      <c r="D210" s="38"/>
      <c r="E210" s="27" t="s">
        <v>19</v>
      </c>
      <c r="F210" s="38">
        <v>6.652</v>
      </c>
      <c r="G210" s="36">
        <v>7076.0</v>
      </c>
      <c r="H210" s="39">
        <v>0.61</v>
      </c>
      <c r="I210" s="32">
        <f t="shared" si="1"/>
        <v>0.007093636364</v>
      </c>
    </row>
    <row r="211">
      <c r="A211" s="16">
        <v>10.0</v>
      </c>
      <c r="B211" s="33" t="s">
        <v>38</v>
      </c>
      <c r="C211" s="33"/>
      <c r="D211" s="38"/>
      <c r="E211" s="27"/>
      <c r="F211" s="38">
        <v>7.044</v>
      </c>
      <c r="G211" s="36">
        <v>10501.0</v>
      </c>
      <c r="H211" s="39">
        <v>0.9</v>
      </c>
      <c r="I211" s="32">
        <f t="shared" si="1"/>
        <v>0.008650454545</v>
      </c>
    </row>
    <row r="212">
      <c r="A212" s="16">
        <v>11.0</v>
      </c>
      <c r="B212" s="33" t="s">
        <v>38</v>
      </c>
      <c r="C212" s="33"/>
      <c r="D212" s="38"/>
      <c r="E212" s="27" t="s">
        <v>20</v>
      </c>
      <c r="F212" s="38">
        <v>7.194</v>
      </c>
      <c r="G212" s="36">
        <v>7105.0</v>
      </c>
      <c r="H212" s="39">
        <v>0.61</v>
      </c>
      <c r="I212" s="32">
        <f t="shared" si="1"/>
        <v>0.007106818182</v>
      </c>
    </row>
    <row r="213">
      <c r="A213" s="16">
        <v>12.0</v>
      </c>
      <c r="B213" s="33" t="s">
        <v>38</v>
      </c>
      <c r="C213" s="33"/>
      <c r="D213" s="38"/>
      <c r="E213" s="27"/>
      <c r="F213" s="38">
        <v>7.384</v>
      </c>
      <c r="G213" s="36">
        <v>4340.0</v>
      </c>
      <c r="H213" s="39">
        <v>0.37</v>
      </c>
      <c r="I213" s="32">
        <f t="shared" si="1"/>
        <v>0.00585</v>
      </c>
    </row>
  </sheetData>
  <conditionalFormatting sqref="A2:I213">
    <cfRule type="expression" dxfId="1" priority="1">
      <formula>ISODD(MATCH($B2,UNIQUE($B$2:$B213),0))</formula>
    </cfRule>
  </conditionalFormatting>
  <dataValidations>
    <dataValidation type="list" allowBlank="1" showErrorMessage="1" sqref="E2:E213">
      <formula1>"A1,A1_B1,A1_B29,A1_B29_B1,B1,B1_B29,desb30,detemir"</formula1>
    </dataValidation>
  </dataValidations>
  <drawing r:id="rId1"/>
</worksheet>
</file>